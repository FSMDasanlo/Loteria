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i unidad\MIOS\"/>
    </mc:Choice>
  </mc:AlternateContent>
  <xr:revisionPtr revIDLastSave="0" documentId="13_ncr:1_{E6C747D3-FD77-4C4B-B1F4-A1AC074FAA27}" xr6:coauthVersionLast="47" xr6:coauthVersionMax="47" xr10:uidLastSave="{00000000-0000-0000-0000-000000000000}"/>
  <bookViews>
    <workbookView xWindow="-108" yWindow="-108" windowWidth="23256" windowHeight="12456" xr2:uid="{0381BC8A-D311-425F-B5F9-B4CBD2C8F291}"/>
  </bookViews>
  <sheets>
    <sheet name="2025" sheetId="11" r:id="rId1"/>
    <sheet name="2024" sheetId="10" r:id="rId2"/>
    <sheet name="2023" sheetId="5" r:id="rId3"/>
    <sheet name="2022" sheetId="2" r:id="rId4"/>
    <sheet name="Alambres" sheetId="4" state="hidden" r:id="rId5"/>
    <sheet name="PREMIOS" sheetId="3" state="hidden" r:id="rId6"/>
    <sheet name="2021" sheetId="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6" i="11" l="1"/>
  <c r="Y7" i="11"/>
  <c r="Y4" i="11" s="1"/>
  <c r="E2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I19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E12" i="10"/>
  <c r="F11" i="10"/>
  <c r="F7" i="10"/>
  <c r="E10" i="10"/>
  <c r="M44" i="11"/>
  <c r="F44" i="11"/>
  <c r="M43" i="11"/>
  <c r="F43" i="11"/>
  <c r="M42" i="11"/>
  <c r="F42" i="11"/>
  <c r="M41" i="11"/>
  <c r="F41" i="11"/>
  <c r="M40" i="11"/>
  <c r="F40" i="11"/>
  <c r="M39" i="11"/>
  <c r="F39" i="11"/>
  <c r="M38" i="11"/>
  <c r="F38" i="11"/>
  <c r="M37" i="11"/>
  <c r="F37" i="11"/>
  <c r="M36" i="11"/>
  <c r="F36" i="11"/>
  <c r="M35" i="11"/>
  <c r="F35" i="11"/>
  <c r="M34" i="11"/>
  <c r="F34" i="11"/>
  <c r="M33" i="11"/>
  <c r="F33" i="11"/>
  <c r="AN32" i="11"/>
  <c r="M32" i="11"/>
  <c r="F32" i="11"/>
  <c r="AN31" i="11"/>
  <c r="M31" i="11"/>
  <c r="F31" i="11"/>
  <c r="AN30" i="11"/>
  <c r="M30" i="11"/>
  <c r="F30" i="11"/>
  <c r="AN29" i="11"/>
  <c r="M29" i="11"/>
  <c r="F29" i="11"/>
  <c r="AN28" i="11"/>
  <c r="M28" i="11"/>
  <c r="F28" i="11"/>
  <c r="AN27" i="11"/>
  <c r="M27" i="11"/>
  <c r="F27" i="11"/>
  <c r="AN26" i="11"/>
  <c r="M26" i="11"/>
  <c r="F26" i="11"/>
  <c r="AN25" i="11"/>
  <c r="M25" i="11"/>
  <c r="F25" i="11"/>
  <c r="AN24" i="11"/>
  <c r="M24" i="11"/>
  <c r="F24" i="11"/>
  <c r="AN23" i="11"/>
  <c r="M23" i="11"/>
  <c r="F23" i="11"/>
  <c r="AN22" i="11"/>
  <c r="M22" i="11"/>
  <c r="F22" i="11"/>
  <c r="AN21" i="11"/>
  <c r="M21" i="11"/>
  <c r="F21" i="11"/>
  <c r="AN20" i="11"/>
  <c r="M20" i="11"/>
  <c r="F20" i="11"/>
  <c r="AN19" i="11"/>
  <c r="M19" i="11"/>
  <c r="F19" i="11"/>
  <c r="AN18" i="11"/>
  <c r="M18" i="11"/>
  <c r="F18" i="11"/>
  <c r="AN17" i="11"/>
  <c r="M17" i="11"/>
  <c r="F17" i="11"/>
  <c r="AN16" i="11"/>
  <c r="AI16" i="11"/>
  <c r="F16" i="11"/>
  <c r="AN15" i="11"/>
  <c r="AI15" i="11"/>
  <c r="M15" i="11"/>
  <c r="F15" i="11"/>
  <c r="AN14" i="11"/>
  <c r="AI14" i="11"/>
  <c r="M14" i="11"/>
  <c r="F14" i="11"/>
  <c r="AN13" i="11"/>
  <c r="AI13" i="11"/>
  <c r="M13" i="11"/>
  <c r="F13" i="11"/>
  <c r="AN12" i="11"/>
  <c r="AI12" i="11"/>
  <c r="M12" i="11"/>
  <c r="F12" i="11"/>
  <c r="AN11" i="11"/>
  <c r="AI11" i="11"/>
  <c r="M11" i="11"/>
  <c r="F11" i="11"/>
  <c r="AN10" i="11"/>
  <c r="AI10" i="11"/>
  <c r="M10" i="11"/>
  <c r="F10" i="11"/>
  <c r="AN9" i="11"/>
  <c r="AI9" i="11"/>
  <c r="L42" i="11" s="1"/>
  <c r="M9" i="11"/>
  <c r="F9" i="11"/>
  <c r="AN8" i="11"/>
  <c r="AI8" i="11"/>
  <c r="K6" i="11" s="1"/>
  <c r="M8" i="11"/>
  <c r="F8" i="11"/>
  <c r="AI7" i="11"/>
  <c r="J44" i="11" s="1"/>
  <c r="M7" i="11"/>
  <c r="F7" i="11"/>
  <c r="AN6" i="11"/>
  <c r="AI6" i="11"/>
  <c r="M6" i="11"/>
  <c r="F6" i="11"/>
  <c r="AN5" i="11"/>
  <c r="AI5" i="11"/>
  <c r="AN4" i="11"/>
  <c r="AI4" i="11"/>
  <c r="Z4" i="11"/>
  <c r="X4" i="11"/>
  <c r="E4" i="11"/>
  <c r="F44" i="10"/>
  <c r="F43" i="10"/>
  <c r="F42" i="10"/>
  <c r="F41" i="10"/>
  <c r="F40" i="10"/>
  <c r="F39" i="10"/>
  <c r="F38" i="10"/>
  <c r="F37" i="10"/>
  <c r="F36" i="10"/>
  <c r="F35" i="10"/>
  <c r="F34" i="10"/>
  <c r="F33" i="10"/>
  <c r="AN32" i="10"/>
  <c r="F32" i="10"/>
  <c r="AN31" i="10"/>
  <c r="F31" i="10"/>
  <c r="AN30" i="10"/>
  <c r="F30" i="10"/>
  <c r="AN29" i="10"/>
  <c r="F29" i="10"/>
  <c r="AN28" i="10"/>
  <c r="F28" i="10"/>
  <c r="AN27" i="10"/>
  <c r="F27" i="10"/>
  <c r="AN26" i="10"/>
  <c r="F26" i="10"/>
  <c r="AN25" i="10"/>
  <c r="F25" i="10"/>
  <c r="AN24" i="10"/>
  <c r="F24" i="10"/>
  <c r="AN23" i="10"/>
  <c r="F23" i="10"/>
  <c r="AN22" i="10"/>
  <c r="F22" i="10"/>
  <c r="AN21" i="10"/>
  <c r="F21" i="10"/>
  <c r="AN20" i="10"/>
  <c r="F20" i="10"/>
  <c r="AN19" i="10"/>
  <c r="F19" i="10"/>
  <c r="AN18" i="10"/>
  <c r="F18" i="10"/>
  <c r="AN17" i="10"/>
  <c r="F17" i="10"/>
  <c r="AN16" i="10"/>
  <c r="AI16" i="10"/>
  <c r="F16" i="10"/>
  <c r="AN15" i="10"/>
  <c r="AI15" i="10"/>
  <c r="F15" i="10"/>
  <c r="AN14" i="10"/>
  <c r="AI14" i="10"/>
  <c r="F14" i="10"/>
  <c r="AN13" i="10"/>
  <c r="AI13" i="10"/>
  <c r="F13" i="10"/>
  <c r="AN12" i="10"/>
  <c r="AI12" i="10"/>
  <c r="F12" i="10"/>
  <c r="AN11" i="10"/>
  <c r="AI11" i="10"/>
  <c r="AN10" i="10"/>
  <c r="AI10" i="10"/>
  <c r="F10" i="10"/>
  <c r="AN9" i="10"/>
  <c r="AI9" i="10"/>
  <c r="F9" i="10"/>
  <c r="AN8" i="10"/>
  <c r="AI8" i="10"/>
  <c r="K14" i="10" s="1"/>
  <c r="F8" i="10"/>
  <c r="AI7" i="10"/>
  <c r="J15" i="10" s="1"/>
  <c r="AN6" i="10"/>
  <c r="AI6" i="10"/>
  <c r="I10" i="10" s="1"/>
  <c r="M6" i="10"/>
  <c r="F6" i="10"/>
  <c r="AN5" i="10"/>
  <c r="AI5" i="10"/>
  <c r="H9" i="10" s="1"/>
  <c r="AN4" i="10"/>
  <c r="AI4" i="10"/>
  <c r="G8" i="10" s="1"/>
  <c r="Z4" i="10"/>
  <c r="Y4" i="10"/>
  <c r="X4" i="10"/>
  <c r="E4" i="10"/>
  <c r="Z4" i="5"/>
  <c r="Y4" i="5"/>
  <c r="X4" i="5"/>
  <c r="AN5" i="5"/>
  <c r="AN6" i="5"/>
  <c r="AN4" i="5"/>
  <c r="AN17" i="5"/>
  <c r="AN18" i="5"/>
  <c r="AN19" i="5"/>
  <c r="AN20" i="5"/>
  <c r="AN21" i="5"/>
  <c r="AN22" i="5"/>
  <c r="AN23" i="5"/>
  <c r="AN24" i="5"/>
  <c r="AN25" i="5"/>
  <c r="AN26" i="5"/>
  <c r="AN27" i="5"/>
  <c r="AN28" i="5"/>
  <c r="AN29" i="5"/>
  <c r="AN30" i="5"/>
  <c r="AN31" i="5"/>
  <c r="AN32" i="5"/>
  <c r="AN8" i="5"/>
  <c r="AN9" i="5"/>
  <c r="AN10" i="5"/>
  <c r="AN11" i="5"/>
  <c r="AN12" i="5"/>
  <c r="AN13" i="5"/>
  <c r="AN14" i="5"/>
  <c r="AN15" i="5"/>
  <c r="AN16" i="5"/>
  <c r="AI6" i="5"/>
  <c r="AI31" i="5" s="1"/>
  <c r="AI5" i="5"/>
  <c r="H15" i="5" s="1"/>
  <c r="AI4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6" i="5"/>
  <c r="AI16" i="5"/>
  <c r="AI15" i="5"/>
  <c r="AI14" i="5"/>
  <c r="AI13" i="5"/>
  <c r="AI12" i="5"/>
  <c r="AI11" i="5"/>
  <c r="AI10" i="5"/>
  <c r="AI9" i="5"/>
  <c r="AI8" i="5"/>
  <c r="AI28" i="5" s="1"/>
  <c r="AI7" i="5"/>
  <c r="AI27" i="5" s="1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B16" i="3"/>
  <c r="B15" i="3"/>
  <c r="B14" i="3"/>
  <c r="B12" i="3"/>
  <c r="B13" i="3"/>
  <c r="B11" i="3"/>
  <c r="B10" i="3"/>
  <c r="B9" i="3"/>
  <c r="B6" i="3"/>
  <c r="B26" i="3" s="1"/>
  <c r="B5" i="3"/>
  <c r="B20" i="3" s="1"/>
  <c r="B4" i="3"/>
  <c r="B32" i="3" s="1"/>
  <c r="Q8" i="2" s="1"/>
  <c r="B8" i="3"/>
  <c r="K44" i="2" s="1"/>
  <c r="B7" i="3"/>
  <c r="B27" i="3" s="1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6" i="2"/>
  <c r="F44" i="2"/>
  <c r="F43" i="2"/>
  <c r="F42" i="2"/>
  <c r="F41" i="2"/>
  <c r="F40" i="2"/>
  <c r="F39" i="2"/>
  <c r="F38" i="2"/>
  <c r="J37" i="2"/>
  <c r="F37" i="2"/>
  <c r="F36" i="2"/>
  <c r="F35" i="2"/>
  <c r="J34" i="2"/>
  <c r="F34" i="2"/>
  <c r="F33" i="2"/>
  <c r="J7" i="2"/>
  <c r="J18" i="2"/>
  <c r="J30" i="2"/>
  <c r="F31" i="2"/>
  <c r="F30" i="2"/>
  <c r="F29" i="2"/>
  <c r="E14" i="2"/>
  <c r="E4" i="2" s="1"/>
  <c r="F32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D1" i="1"/>
  <c r="E29" i="1"/>
  <c r="E30" i="1"/>
  <c r="E31" i="1"/>
  <c r="E32" i="1"/>
  <c r="E33" i="1"/>
  <c r="E34" i="1"/>
  <c r="E35" i="1"/>
  <c r="E36" i="1"/>
  <c r="E37" i="1"/>
  <c r="E38" i="1"/>
  <c r="E39" i="1"/>
  <c r="E3" i="1"/>
  <c r="K39" i="11" l="1"/>
  <c r="K41" i="11"/>
  <c r="K33" i="11"/>
  <c r="K21" i="11"/>
  <c r="H38" i="11"/>
  <c r="H28" i="11"/>
  <c r="H7" i="11"/>
  <c r="H26" i="11"/>
  <c r="AA4" i="11"/>
  <c r="L12" i="11"/>
  <c r="L34" i="11"/>
  <c r="L18" i="11"/>
  <c r="L14" i="11"/>
  <c r="L7" i="11"/>
  <c r="L10" i="11"/>
  <c r="L20" i="11"/>
  <c r="K7" i="11"/>
  <c r="K11" i="11"/>
  <c r="K15" i="11"/>
  <c r="K31" i="11"/>
  <c r="J6" i="11"/>
  <c r="J9" i="11"/>
  <c r="J13" i="11"/>
  <c r="K17" i="11"/>
  <c r="K18" i="11"/>
  <c r="K25" i="11"/>
  <c r="K27" i="11"/>
  <c r="K29" i="11"/>
  <c r="J36" i="11"/>
  <c r="K9" i="11"/>
  <c r="K13" i="11"/>
  <c r="K19" i="11"/>
  <c r="K20" i="11"/>
  <c r="K23" i="11"/>
  <c r="H12" i="11"/>
  <c r="H44" i="11"/>
  <c r="H16" i="11"/>
  <c r="G37" i="10"/>
  <c r="G21" i="10"/>
  <c r="L16" i="10"/>
  <c r="L10" i="10"/>
  <c r="J37" i="10"/>
  <c r="J41" i="10"/>
  <c r="J26" i="10"/>
  <c r="J39" i="10"/>
  <c r="J28" i="10"/>
  <c r="J40" i="10"/>
  <c r="J38" i="10"/>
  <c r="J29" i="10"/>
  <c r="J27" i="10"/>
  <c r="J14" i="10"/>
  <c r="I35" i="10"/>
  <c r="I15" i="10"/>
  <c r="I31" i="10"/>
  <c r="H30" i="10"/>
  <c r="H26" i="10"/>
  <c r="H14" i="10"/>
  <c r="H42" i="10"/>
  <c r="H10" i="10"/>
  <c r="L39" i="10"/>
  <c r="L30" i="10"/>
  <c r="L26" i="10"/>
  <c r="L21" i="10"/>
  <c r="L8" i="10"/>
  <c r="L40" i="10"/>
  <c r="L33" i="10"/>
  <c r="L27" i="10"/>
  <c r="L14" i="10"/>
  <c r="L11" i="10"/>
  <c r="L41" i="10"/>
  <c r="L37" i="10"/>
  <c r="L36" i="10"/>
  <c r="L28" i="10"/>
  <c r="L24" i="10"/>
  <c r="L22" i="10"/>
  <c r="L17" i="10"/>
  <c r="L15" i="10"/>
  <c r="L9" i="10"/>
  <c r="L7" i="10"/>
  <c r="L35" i="10"/>
  <c r="L25" i="10"/>
  <c r="L23" i="10"/>
  <c r="L18" i="10"/>
  <c r="L43" i="10"/>
  <c r="L31" i="10"/>
  <c r="L19" i="10"/>
  <c r="L13" i="10"/>
  <c r="L44" i="10"/>
  <c r="L42" i="10"/>
  <c r="L38" i="10"/>
  <c r="L34" i="10"/>
  <c r="L32" i="10"/>
  <c r="L29" i="10"/>
  <c r="L20" i="10"/>
  <c r="L12" i="10"/>
  <c r="K35" i="10"/>
  <c r="K24" i="10"/>
  <c r="K22" i="10"/>
  <c r="K21" i="10"/>
  <c r="K13" i="10"/>
  <c r="K11" i="10"/>
  <c r="J36" i="10"/>
  <c r="J35" i="10"/>
  <c r="K34" i="10"/>
  <c r="K33" i="10"/>
  <c r="K32" i="10"/>
  <c r="K31" i="10"/>
  <c r="J25" i="10"/>
  <c r="J24" i="10"/>
  <c r="J23" i="10"/>
  <c r="J22" i="10"/>
  <c r="J21" i="10"/>
  <c r="K20" i="10"/>
  <c r="K19" i="10"/>
  <c r="J13" i="10"/>
  <c r="J12" i="10"/>
  <c r="J11" i="10"/>
  <c r="J10" i="10"/>
  <c r="K9" i="10"/>
  <c r="K8" i="10"/>
  <c r="K7" i="10"/>
  <c r="K23" i="10"/>
  <c r="K44" i="10"/>
  <c r="K43" i="10"/>
  <c r="K42" i="10"/>
  <c r="J34" i="10"/>
  <c r="J33" i="10"/>
  <c r="J32" i="10"/>
  <c r="J31" i="10"/>
  <c r="K30" i="10"/>
  <c r="J20" i="10"/>
  <c r="J19" i="10"/>
  <c r="K18" i="10"/>
  <c r="K17" i="10"/>
  <c r="K16" i="10"/>
  <c r="K15" i="10"/>
  <c r="J9" i="10"/>
  <c r="J8" i="10"/>
  <c r="J7" i="10"/>
  <c r="K36" i="10"/>
  <c r="K25" i="10"/>
  <c r="K12" i="10"/>
  <c r="K10" i="10"/>
  <c r="J44" i="10"/>
  <c r="J43" i="10"/>
  <c r="J42" i="10"/>
  <c r="K41" i="10"/>
  <c r="K40" i="10"/>
  <c r="K39" i="10"/>
  <c r="K38" i="10"/>
  <c r="K37" i="10"/>
  <c r="J30" i="10"/>
  <c r="K29" i="10"/>
  <c r="K28" i="10"/>
  <c r="K27" i="10"/>
  <c r="K26" i="10"/>
  <c r="J18" i="10"/>
  <c r="J17" i="10"/>
  <c r="J16" i="10"/>
  <c r="G41" i="10"/>
  <c r="I39" i="10"/>
  <c r="H34" i="10"/>
  <c r="G29" i="10"/>
  <c r="I23" i="10"/>
  <c r="H18" i="10"/>
  <c r="G13" i="10"/>
  <c r="I7" i="10"/>
  <c r="G25" i="10"/>
  <c r="G9" i="10"/>
  <c r="I43" i="10"/>
  <c r="H38" i="10"/>
  <c r="G33" i="10"/>
  <c r="I27" i="10"/>
  <c r="H22" i="10"/>
  <c r="G17" i="10"/>
  <c r="I11" i="10"/>
  <c r="I44" i="10"/>
  <c r="H43" i="10"/>
  <c r="G42" i="10"/>
  <c r="I40" i="10"/>
  <c r="H39" i="10"/>
  <c r="G38" i="10"/>
  <c r="I36" i="10"/>
  <c r="H35" i="10"/>
  <c r="G34" i="10"/>
  <c r="I32" i="10"/>
  <c r="H31" i="10"/>
  <c r="G30" i="10"/>
  <c r="I28" i="10"/>
  <c r="H27" i="10"/>
  <c r="G26" i="10"/>
  <c r="I24" i="10"/>
  <c r="H23" i="10"/>
  <c r="G22" i="10"/>
  <c r="I20" i="10"/>
  <c r="H19" i="10"/>
  <c r="G18" i="10"/>
  <c r="I16" i="10"/>
  <c r="H15" i="10"/>
  <c r="G14" i="10"/>
  <c r="I12" i="10"/>
  <c r="H11" i="10"/>
  <c r="G10" i="10"/>
  <c r="I8" i="10"/>
  <c r="H7" i="10"/>
  <c r="H44" i="10"/>
  <c r="G43" i="10"/>
  <c r="I41" i="10"/>
  <c r="H40" i="10"/>
  <c r="G39" i="10"/>
  <c r="I37" i="10"/>
  <c r="H36" i="10"/>
  <c r="G35" i="10"/>
  <c r="I33" i="10"/>
  <c r="H32" i="10"/>
  <c r="G31" i="10"/>
  <c r="I29" i="10"/>
  <c r="H28" i="10"/>
  <c r="G27" i="10"/>
  <c r="I25" i="10"/>
  <c r="H24" i="10"/>
  <c r="G23" i="10"/>
  <c r="I21" i="10"/>
  <c r="H20" i="10"/>
  <c r="G19" i="10"/>
  <c r="I17" i="10"/>
  <c r="H16" i="10"/>
  <c r="G15" i="10"/>
  <c r="I13" i="10"/>
  <c r="H12" i="10"/>
  <c r="G11" i="10"/>
  <c r="I9" i="10"/>
  <c r="H8" i="10"/>
  <c r="G7" i="10"/>
  <c r="G44" i="10"/>
  <c r="I42" i="10"/>
  <c r="H41" i="10"/>
  <c r="G40" i="10"/>
  <c r="I38" i="10"/>
  <c r="H37" i="10"/>
  <c r="G36" i="10"/>
  <c r="I34" i="10"/>
  <c r="H33" i="10"/>
  <c r="G32" i="10"/>
  <c r="I30" i="10"/>
  <c r="H29" i="10"/>
  <c r="G28" i="10"/>
  <c r="I26" i="10"/>
  <c r="H25" i="10"/>
  <c r="G24" i="10"/>
  <c r="I22" i="10"/>
  <c r="H21" i="10"/>
  <c r="G20" i="10"/>
  <c r="I18" i="10"/>
  <c r="H17" i="10"/>
  <c r="G16" i="10"/>
  <c r="I14" i="10"/>
  <c r="H13" i="10"/>
  <c r="G12" i="10"/>
  <c r="L6" i="10"/>
  <c r="AI18" i="10"/>
  <c r="G6" i="10"/>
  <c r="J6" i="10"/>
  <c r="K6" i="10"/>
  <c r="V12" i="10"/>
  <c r="V14" i="10"/>
  <c r="V7" i="10"/>
  <c r="V10" i="10"/>
  <c r="G44" i="11"/>
  <c r="G40" i="11"/>
  <c r="G36" i="11"/>
  <c r="AI32" i="11"/>
  <c r="G30" i="11"/>
  <c r="G26" i="11"/>
  <c r="AI24" i="11"/>
  <c r="G22" i="11"/>
  <c r="G42" i="11"/>
  <c r="G38" i="11"/>
  <c r="G34" i="11"/>
  <c r="G32" i="11"/>
  <c r="G28" i="11"/>
  <c r="G24" i="11"/>
  <c r="G41" i="11"/>
  <c r="G33" i="11"/>
  <c r="G31" i="11"/>
  <c r="G29" i="11"/>
  <c r="G27" i="11"/>
  <c r="G25" i="11"/>
  <c r="G23" i="11"/>
  <c r="G21" i="11"/>
  <c r="G16" i="11"/>
  <c r="G14" i="11"/>
  <c r="G12" i="11"/>
  <c r="G10" i="11"/>
  <c r="G8" i="11"/>
  <c r="G39" i="11"/>
  <c r="AI29" i="11"/>
  <c r="AI19" i="11"/>
  <c r="AI18" i="11"/>
  <c r="V15" i="11"/>
  <c r="V13" i="11"/>
  <c r="V11" i="11"/>
  <c r="V9" i="11"/>
  <c r="I42" i="11"/>
  <c r="I38" i="11"/>
  <c r="I34" i="11"/>
  <c r="I32" i="11"/>
  <c r="I28" i="11"/>
  <c r="I24" i="11"/>
  <c r="I20" i="11"/>
  <c r="I44" i="11"/>
  <c r="I40" i="11"/>
  <c r="I36" i="11"/>
  <c r="I30" i="11"/>
  <c r="AI26" i="11"/>
  <c r="I26" i="11"/>
  <c r="AI22" i="11"/>
  <c r="I22" i="11"/>
  <c r="I39" i="11"/>
  <c r="I19" i="11"/>
  <c r="I15" i="11"/>
  <c r="I13" i="11"/>
  <c r="I11" i="11"/>
  <c r="I9" i="11"/>
  <c r="I37" i="11"/>
  <c r="AI31" i="11"/>
  <c r="AI23" i="11"/>
  <c r="I18" i="11"/>
  <c r="I17" i="11"/>
  <c r="V7" i="11"/>
  <c r="I8" i="11"/>
  <c r="G19" i="11"/>
  <c r="I23" i="11"/>
  <c r="I31" i="11"/>
  <c r="I43" i="11"/>
  <c r="G6" i="11"/>
  <c r="I7" i="11"/>
  <c r="V10" i="11"/>
  <c r="I16" i="11"/>
  <c r="L17" i="11"/>
  <c r="G18" i="11"/>
  <c r="J19" i="11"/>
  <c r="I25" i="11"/>
  <c r="J42" i="11"/>
  <c r="H41" i="11"/>
  <c r="H37" i="11"/>
  <c r="H33" i="11"/>
  <c r="H29" i="11"/>
  <c r="H25" i="11"/>
  <c r="H21" i="11"/>
  <c r="AI20" i="11"/>
  <c r="H43" i="11"/>
  <c r="H39" i="11"/>
  <c r="H35" i="11"/>
  <c r="H31" i="11"/>
  <c r="AI30" i="11"/>
  <c r="H27" i="11"/>
  <c r="H23" i="11"/>
  <c r="H42" i="11"/>
  <c r="H34" i="11"/>
  <c r="H40" i="11"/>
  <c r="AI25" i="11"/>
  <c r="AI21" i="11"/>
  <c r="H20" i="11"/>
  <c r="H19" i="11"/>
  <c r="H15" i="11"/>
  <c r="H13" i="11"/>
  <c r="H11" i="11"/>
  <c r="H9" i="11"/>
  <c r="H6" i="11"/>
  <c r="L6" i="11"/>
  <c r="J7" i="11"/>
  <c r="L8" i="11"/>
  <c r="H10" i="11"/>
  <c r="J11" i="11"/>
  <c r="H14" i="11"/>
  <c r="J15" i="11"/>
  <c r="L16" i="11"/>
  <c r="G17" i="11"/>
  <c r="H18" i="11"/>
  <c r="G20" i="11"/>
  <c r="H22" i="11"/>
  <c r="I27" i="11"/>
  <c r="H30" i="11"/>
  <c r="I35" i="11"/>
  <c r="L40" i="11"/>
  <c r="J43" i="11"/>
  <c r="J39" i="11"/>
  <c r="J35" i="11"/>
  <c r="J31" i="11"/>
  <c r="J27" i="11"/>
  <c r="J23" i="11"/>
  <c r="J41" i="11"/>
  <c r="J37" i="11"/>
  <c r="J33" i="11"/>
  <c r="J29" i="11"/>
  <c r="J25" i="11"/>
  <c r="J21" i="11"/>
  <c r="J40" i="11"/>
  <c r="J20" i="11"/>
  <c r="J18" i="11"/>
  <c r="J17" i="11"/>
  <c r="J38" i="11"/>
  <c r="J32" i="11"/>
  <c r="J30" i="11"/>
  <c r="J28" i="11"/>
  <c r="AI27" i="11"/>
  <c r="J26" i="11"/>
  <c r="J24" i="11"/>
  <c r="J22" i="11"/>
  <c r="J16" i="11"/>
  <c r="J14" i="11"/>
  <c r="J12" i="11"/>
  <c r="J10" i="11"/>
  <c r="J8" i="11"/>
  <c r="G11" i="11"/>
  <c r="I12" i="11"/>
  <c r="V14" i="11"/>
  <c r="G15" i="11"/>
  <c r="I33" i="11"/>
  <c r="G35" i="11"/>
  <c r="G37" i="11"/>
  <c r="I6" i="11"/>
  <c r="V6" i="11"/>
  <c r="G7" i="11"/>
  <c r="H8" i="11"/>
  <c r="V8" i="11"/>
  <c r="G9" i="11"/>
  <c r="L41" i="11"/>
  <c r="L37" i="11"/>
  <c r="L33" i="11"/>
  <c r="L29" i="11"/>
  <c r="L25" i="11"/>
  <c r="L21" i="11"/>
  <c r="L43" i="11"/>
  <c r="L39" i="11"/>
  <c r="L35" i="11"/>
  <c r="L31" i="11"/>
  <c r="L27" i="11"/>
  <c r="L23" i="11"/>
  <c r="L38" i="11"/>
  <c r="L32" i="11"/>
  <c r="L30" i="11"/>
  <c r="L28" i="11"/>
  <c r="L26" i="11"/>
  <c r="L24" i="11"/>
  <c r="L22" i="11"/>
  <c r="L44" i="11"/>
  <c r="L36" i="11"/>
  <c r="L19" i="11"/>
  <c r="L15" i="11"/>
  <c r="L13" i="11"/>
  <c r="L11" i="11"/>
  <c r="L9" i="11"/>
  <c r="I10" i="11"/>
  <c r="V12" i="11"/>
  <c r="G13" i="11"/>
  <c r="I14" i="11"/>
  <c r="H17" i="11"/>
  <c r="I21" i="11"/>
  <c r="H24" i="11"/>
  <c r="I29" i="11"/>
  <c r="H32" i="11"/>
  <c r="J34" i="11"/>
  <c r="H36" i="11"/>
  <c r="I41" i="11"/>
  <c r="G43" i="11"/>
  <c r="K44" i="11"/>
  <c r="K40" i="11"/>
  <c r="K36" i="11"/>
  <c r="K30" i="11"/>
  <c r="AI28" i="11"/>
  <c r="K26" i="11"/>
  <c r="K22" i="11"/>
  <c r="K42" i="11"/>
  <c r="K38" i="11"/>
  <c r="K34" i="11"/>
  <c r="K32" i="11"/>
  <c r="K28" i="11"/>
  <c r="K24" i="11"/>
  <c r="K35" i="11"/>
  <c r="K43" i="11"/>
  <c r="K8" i="11"/>
  <c r="K10" i="11"/>
  <c r="K12" i="11"/>
  <c r="K14" i="11"/>
  <c r="K16" i="11"/>
  <c r="K37" i="11"/>
  <c r="AA4" i="10"/>
  <c r="AI25" i="10"/>
  <c r="I6" i="10"/>
  <c r="V6" i="10"/>
  <c r="AI27" i="10"/>
  <c r="V8" i="10"/>
  <c r="AI30" i="10"/>
  <c r="AI20" i="10"/>
  <c r="H6" i="10"/>
  <c r="AI32" i="10"/>
  <c r="AI24" i="10"/>
  <c r="AI19" i="10"/>
  <c r="V15" i="10"/>
  <c r="V13" i="10"/>
  <c r="V11" i="10"/>
  <c r="V9" i="10"/>
  <c r="AI31" i="10"/>
  <c r="AI23" i="10"/>
  <c r="AI26" i="10"/>
  <c r="AI22" i="10"/>
  <c r="AI28" i="10"/>
  <c r="AI21" i="10"/>
  <c r="AI29" i="10"/>
  <c r="K39" i="5"/>
  <c r="K23" i="5"/>
  <c r="K7" i="5"/>
  <c r="K35" i="5"/>
  <c r="K19" i="5"/>
  <c r="K31" i="5"/>
  <c r="K15" i="5"/>
  <c r="K43" i="5"/>
  <c r="K27" i="5"/>
  <c r="K11" i="5"/>
  <c r="L11" i="5"/>
  <c r="L9" i="5"/>
  <c r="H7" i="5"/>
  <c r="AA4" i="5"/>
  <c r="AI25" i="5"/>
  <c r="H23" i="5"/>
  <c r="H39" i="5"/>
  <c r="H41" i="5"/>
  <c r="H25" i="5"/>
  <c r="H9" i="5"/>
  <c r="H33" i="5"/>
  <c r="H17" i="5"/>
  <c r="H31" i="5"/>
  <c r="AI32" i="5"/>
  <c r="L6" i="5"/>
  <c r="K42" i="5"/>
  <c r="K38" i="5"/>
  <c r="K34" i="5"/>
  <c r="K30" i="5"/>
  <c r="K26" i="5"/>
  <c r="K22" i="5"/>
  <c r="K18" i="5"/>
  <c r="K14" i="5"/>
  <c r="K10" i="5"/>
  <c r="K6" i="5"/>
  <c r="K41" i="5"/>
  <c r="K37" i="5"/>
  <c r="K33" i="5"/>
  <c r="K29" i="5"/>
  <c r="K25" i="5"/>
  <c r="K21" i="5"/>
  <c r="K17" i="5"/>
  <c r="K13" i="5"/>
  <c r="K9" i="5"/>
  <c r="K44" i="5"/>
  <c r="K40" i="5"/>
  <c r="K36" i="5"/>
  <c r="K32" i="5"/>
  <c r="K28" i="5"/>
  <c r="K24" i="5"/>
  <c r="K20" i="5"/>
  <c r="K16" i="5"/>
  <c r="K12" i="5"/>
  <c r="K8" i="5"/>
  <c r="H37" i="5"/>
  <c r="H29" i="5"/>
  <c r="H21" i="5"/>
  <c r="H13" i="5"/>
  <c r="H43" i="5"/>
  <c r="H35" i="5"/>
  <c r="H27" i="5"/>
  <c r="H19" i="5"/>
  <c r="H11" i="5"/>
  <c r="G6" i="5"/>
  <c r="G43" i="5"/>
  <c r="L44" i="5"/>
  <c r="L40" i="5"/>
  <c r="L36" i="5"/>
  <c r="L32" i="5"/>
  <c r="L28" i="5"/>
  <c r="L24" i="5"/>
  <c r="L20" i="5"/>
  <c r="L16" i="5"/>
  <c r="L12" i="5"/>
  <c r="L8" i="5"/>
  <c r="L43" i="5"/>
  <c r="L39" i="5"/>
  <c r="L35" i="5"/>
  <c r="L31" i="5"/>
  <c r="L27" i="5"/>
  <c r="L23" i="5"/>
  <c r="L19" i="5"/>
  <c r="L15" i="5"/>
  <c r="L7" i="5"/>
  <c r="L42" i="5"/>
  <c r="L38" i="5"/>
  <c r="L34" i="5"/>
  <c r="L30" i="5"/>
  <c r="L26" i="5"/>
  <c r="L22" i="5"/>
  <c r="L18" i="5"/>
  <c r="L14" i="5"/>
  <c r="L10" i="5"/>
  <c r="L41" i="5"/>
  <c r="L37" i="5"/>
  <c r="L33" i="5"/>
  <c r="L29" i="5"/>
  <c r="L25" i="5"/>
  <c r="L21" i="5"/>
  <c r="L17" i="5"/>
  <c r="L13" i="5"/>
  <c r="G41" i="5"/>
  <c r="G33" i="5"/>
  <c r="G25" i="5"/>
  <c r="G17" i="5"/>
  <c r="G9" i="5"/>
  <c r="G39" i="5"/>
  <c r="G31" i="5"/>
  <c r="G23" i="5"/>
  <c r="G15" i="5"/>
  <c r="G7" i="5"/>
  <c r="G37" i="5"/>
  <c r="G29" i="5"/>
  <c r="G21" i="5"/>
  <c r="G13" i="5"/>
  <c r="G35" i="5"/>
  <c r="G27" i="5"/>
  <c r="G19" i="5"/>
  <c r="G11" i="5"/>
  <c r="I43" i="5"/>
  <c r="I39" i="5"/>
  <c r="I35" i="5"/>
  <c r="I31" i="5"/>
  <c r="I27" i="5"/>
  <c r="I23" i="5"/>
  <c r="I19" i="5"/>
  <c r="I15" i="5"/>
  <c r="I11" i="5"/>
  <c r="I7" i="5"/>
  <c r="I42" i="5"/>
  <c r="I38" i="5"/>
  <c r="I34" i="5"/>
  <c r="I30" i="5"/>
  <c r="I26" i="5"/>
  <c r="I22" i="5"/>
  <c r="I18" i="5"/>
  <c r="I14" i="5"/>
  <c r="I10" i="5"/>
  <c r="I6" i="5"/>
  <c r="I41" i="5"/>
  <c r="I37" i="5"/>
  <c r="I33" i="5"/>
  <c r="I29" i="5"/>
  <c r="I25" i="5"/>
  <c r="I21" i="5"/>
  <c r="I17" i="5"/>
  <c r="I13" i="5"/>
  <c r="I9" i="5"/>
  <c r="I44" i="5"/>
  <c r="I40" i="5"/>
  <c r="I36" i="5"/>
  <c r="I32" i="5"/>
  <c r="I28" i="5"/>
  <c r="I24" i="5"/>
  <c r="I20" i="5"/>
  <c r="I16" i="5"/>
  <c r="I12" i="5"/>
  <c r="I8" i="5"/>
  <c r="J42" i="5"/>
  <c r="J38" i="5"/>
  <c r="J34" i="5"/>
  <c r="J30" i="5"/>
  <c r="J26" i="5"/>
  <c r="J22" i="5"/>
  <c r="J18" i="5"/>
  <c r="J14" i="5"/>
  <c r="J10" i="5"/>
  <c r="J6" i="5"/>
  <c r="J41" i="5"/>
  <c r="J37" i="5"/>
  <c r="J33" i="5"/>
  <c r="J29" i="5"/>
  <c r="J25" i="5"/>
  <c r="J21" i="5"/>
  <c r="J17" i="5"/>
  <c r="J13" i="5"/>
  <c r="J9" i="5"/>
  <c r="J44" i="5"/>
  <c r="J40" i="5"/>
  <c r="J36" i="5"/>
  <c r="J32" i="5"/>
  <c r="J28" i="5"/>
  <c r="J24" i="5"/>
  <c r="J20" i="5"/>
  <c r="J16" i="5"/>
  <c r="J12" i="5"/>
  <c r="J8" i="5"/>
  <c r="J43" i="5"/>
  <c r="J39" i="5"/>
  <c r="J35" i="5"/>
  <c r="J31" i="5"/>
  <c r="J27" i="5"/>
  <c r="J23" i="5"/>
  <c r="J19" i="5"/>
  <c r="J15" i="5"/>
  <c r="J11" i="5"/>
  <c r="J7" i="5"/>
  <c r="H42" i="5"/>
  <c r="H38" i="5"/>
  <c r="H34" i="5"/>
  <c r="H30" i="5"/>
  <c r="H26" i="5"/>
  <c r="H22" i="5"/>
  <c r="H18" i="5"/>
  <c r="H14" i="5"/>
  <c r="H10" i="5"/>
  <c r="H44" i="5"/>
  <c r="H40" i="5"/>
  <c r="H36" i="5"/>
  <c r="H32" i="5"/>
  <c r="H28" i="5"/>
  <c r="H24" i="5"/>
  <c r="H20" i="5"/>
  <c r="H16" i="5"/>
  <c r="H12" i="5"/>
  <c r="H8" i="5"/>
  <c r="H6" i="5"/>
  <c r="AI21" i="5"/>
  <c r="G42" i="5"/>
  <c r="G38" i="5"/>
  <c r="G34" i="5"/>
  <c r="G30" i="5"/>
  <c r="G26" i="5"/>
  <c r="G22" i="5"/>
  <c r="G18" i="5"/>
  <c r="G14" i="5"/>
  <c r="G10" i="5"/>
  <c r="G44" i="5"/>
  <c r="G40" i="5"/>
  <c r="G36" i="5"/>
  <c r="G32" i="5"/>
  <c r="G28" i="5"/>
  <c r="G24" i="5"/>
  <c r="G20" i="5"/>
  <c r="G16" i="5"/>
  <c r="G12" i="5"/>
  <c r="G8" i="5"/>
  <c r="AI20" i="5"/>
  <c r="AI29" i="5"/>
  <c r="AI18" i="5"/>
  <c r="AI22" i="5"/>
  <c r="AI26" i="5"/>
  <c r="AI30" i="5"/>
  <c r="AI19" i="5"/>
  <c r="AI23" i="5"/>
  <c r="AI24" i="5"/>
  <c r="V13" i="5"/>
  <c r="V8" i="5"/>
  <c r="V12" i="5"/>
  <c r="V9" i="5"/>
  <c r="V15" i="5"/>
  <c r="V6" i="5"/>
  <c r="V10" i="5"/>
  <c r="V7" i="5"/>
  <c r="V11" i="5"/>
  <c r="V14" i="5"/>
  <c r="E4" i="5"/>
  <c r="J26" i="2"/>
  <c r="J15" i="2"/>
  <c r="J23" i="2"/>
  <c r="J14" i="2"/>
  <c r="J33" i="2"/>
  <c r="J42" i="2"/>
  <c r="J31" i="2"/>
  <c r="J22" i="2"/>
  <c r="J10" i="2"/>
  <c r="K33" i="2"/>
  <c r="L6" i="2"/>
  <c r="K18" i="2"/>
  <c r="K38" i="2"/>
  <c r="K10" i="2"/>
  <c r="K26" i="2"/>
  <c r="K30" i="2"/>
  <c r="K22" i="2"/>
  <c r="K14" i="2"/>
  <c r="K32" i="2"/>
  <c r="K24" i="2"/>
  <c r="K16" i="2"/>
  <c r="K8" i="2"/>
  <c r="K28" i="2"/>
  <c r="K20" i="2"/>
  <c r="K12" i="2"/>
  <c r="G32" i="2"/>
  <c r="G24" i="2"/>
  <c r="G16" i="2"/>
  <c r="G12" i="2"/>
  <c r="G33" i="2"/>
  <c r="G34" i="2"/>
  <c r="G31" i="2"/>
  <c r="G27" i="2"/>
  <c r="G23" i="2"/>
  <c r="G19" i="2"/>
  <c r="G15" i="2"/>
  <c r="G11" i="2"/>
  <c r="G14" i="2"/>
  <c r="G28" i="2"/>
  <c r="G20" i="2"/>
  <c r="G30" i="2"/>
  <c r="G26" i="2"/>
  <c r="G22" i="2"/>
  <c r="G18" i="2"/>
  <c r="G9" i="2"/>
  <c r="G6" i="2"/>
  <c r="G29" i="2"/>
  <c r="G25" i="2"/>
  <c r="G21" i="2"/>
  <c r="G17" i="2"/>
  <c r="G13" i="2"/>
  <c r="G7" i="2"/>
  <c r="G44" i="2"/>
  <c r="I27" i="2"/>
  <c r="G38" i="2"/>
  <c r="I32" i="2"/>
  <c r="I14" i="2"/>
  <c r="G10" i="2"/>
  <c r="G36" i="2"/>
  <c r="G39" i="2"/>
  <c r="G41" i="2"/>
  <c r="G43" i="2"/>
  <c r="G8" i="2"/>
  <c r="G35" i="2"/>
  <c r="G37" i="2"/>
  <c r="G40" i="2"/>
  <c r="G42" i="2"/>
  <c r="J27" i="2"/>
  <c r="J19" i="2"/>
  <c r="J11" i="2"/>
  <c r="J38" i="2"/>
  <c r="J39" i="2"/>
  <c r="J44" i="2"/>
  <c r="B29" i="3"/>
  <c r="I26" i="2"/>
  <c r="I31" i="2"/>
  <c r="I30" i="2"/>
  <c r="I22" i="2"/>
  <c r="J6" i="2"/>
  <c r="J29" i="2"/>
  <c r="J25" i="2"/>
  <c r="J21" i="2"/>
  <c r="J17" i="2"/>
  <c r="J13" i="2"/>
  <c r="J9" i="2"/>
  <c r="J36" i="2"/>
  <c r="I10" i="2"/>
  <c r="I28" i="2"/>
  <c r="I18" i="2"/>
  <c r="J32" i="2"/>
  <c r="J28" i="2"/>
  <c r="J24" i="2"/>
  <c r="J20" i="2"/>
  <c r="J16" i="2"/>
  <c r="J12" i="2"/>
  <c r="J8" i="2"/>
  <c r="J35" i="2"/>
  <c r="J40" i="2"/>
  <c r="I23" i="2"/>
  <c r="I19" i="2"/>
  <c r="I15" i="2"/>
  <c r="I11" i="2"/>
  <c r="I7" i="2"/>
  <c r="I34" i="2"/>
  <c r="I35" i="2"/>
  <c r="I39" i="2"/>
  <c r="I6" i="2"/>
  <c r="I29" i="2"/>
  <c r="I25" i="2"/>
  <c r="I21" i="2"/>
  <c r="I17" i="2"/>
  <c r="I13" i="2"/>
  <c r="I9" i="2"/>
  <c r="I24" i="2"/>
  <c r="I20" i="2"/>
  <c r="I16" i="2"/>
  <c r="I12" i="2"/>
  <c r="I8" i="2"/>
  <c r="I33" i="2"/>
  <c r="I37" i="2"/>
  <c r="I38" i="2"/>
  <c r="B18" i="3"/>
  <c r="B19" i="3"/>
  <c r="K6" i="2"/>
  <c r="K29" i="2"/>
  <c r="K25" i="2"/>
  <c r="K21" i="2"/>
  <c r="K17" i="2"/>
  <c r="K13" i="2"/>
  <c r="K9" i="2"/>
  <c r="K34" i="2"/>
  <c r="K36" i="2"/>
  <c r="K35" i="2"/>
  <c r="K31" i="2"/>
  <c r="K27" i="2"/>
  <c r="K23" i="2"/>
  <c r="K19" i="2"/>
  <c r="K15" i="2"/>
  <c r="K11" i="2"/>
  <c r="K7" i="2"/>
  <c r="K37" i="2"/>
  <c r="J43" i="2"/>
  <c r="J41" i="2"/>
  <c r="I40" i="2"/>
  <c r="I41" i="2"/>
  <c r="I42" i="2"/>
  <c r="I43" i="2"/>
  <c r="I44" i="2"/>
  <c r="B23" i="3"/>
  <c r="I36" i="2"/>
  <c r="H32" i="2"/>
  <c r="H24" i="2"/>
  <c r="H20" i="2"/>
  <c r="H12" i="2"/>
  <c r="H8" i="2"/>
  <c r="H42" i="2"/>
  <c r="H31" i="2"/>
  <c r="H27" i="2"/>
  <c r="H23" i="2"/>
  <c r="H19" i="2"/>
  <c r="H15" i="2"/>
  <c r="H11" i="2"/>
  <c r="H7" i="2"/>
  <c r="H33" i="2"/>
  <c r="H35" i="2"/>
  <c r="H37" i="2"/>
  <c r="H39" i="2"/>
  <c r="H43" i="2"/>
  <c r="B30" i="3"/>
  <c r="B21" i="3"/>
  <c r="H30" i="2"/>
  <c r="H26" i="2"/>
  <c r="H22" i="2"/>
  <c r="H18" i="2"/>
  <c r="H14" i="2"/>
  <c r="H10" i="2"/>
  <c r="H40" i="2"/>
  <c r="H44" i="2"/>
  <c r="B25" i="3"/>
  <c r="H28" i="2"/>
  <c r="H16" i="2"/>
  <c r="H6" i="2"/>
  <c r="H29" i="2"/>
  <c r="H25" i="2"/>
  <c r="H21" i="2"/>
  <c r="H17" i="2"/>
  <c r="H13" i="2"/>
  <c r="H9" i="2"/>
  <c r="H34" i="2"/>
  <c r="H36" i="2"/>
  <c r="H38" i="2"/>
  <c r="H41" i="2"/>
  <c r="B24" i="3"/>
  <c r="L30" i="2"/>
  <c r="L17" i="2"/>
  <c r="L42" i="2"/>
  <c r="L34" i="2"/>
  <c r="L26" i="2"/>
  <c r="L38" i="2"/>
  <c r="L18" i="2"/>
  <c r="L22" i="2"/>
  <c r="L8" i="2"/>
  <c r="L41" i="2"/>
  <c r="L33" i="2"/>
  <c r="L25" i="2"/>
  <c r="L12" i="2"/>
  <c r="L44" i="2"/>
  <c r="L40" i="2"/>
  <c r="L36" i="2"/>
  <c r="L32" i="2"/>
  <c r="L28" i="2"/>
  <c r="L24" i="2"/>
  <c r="L20" i="2"/>
  <c r="L16" i="2"/>
  <c r="L9" i="2"/>
  <c r="L10" i="2"/>
  <c r="L13" i="2"/>
  <c r="L37" i="2"/>
  <c r="L29" i="2"/>
  <c r="L21" i="2"/>
  <c r="L43" i="2"/>
  <c r="L39" i="2"/>
  <c r="L35" i="2"/>
  <c r="L31" i="2"/>
  <c r="L27" i="2"/>
  <c r="L23" i="2"/>
  <c r="L19" i="2"/>
  <c r="L15" i="2"/>
  <c r="L11" i="2"/>
  <c r="L7" i="2"/>
  <c r="L14" i="2"/>
  <c r="K39" i="2"/>
  <c r="K41" i="2"/>
  <c r="K43" i="2"/>
  <c r="B28" i="3"/>
  <c r="K40" i="2"/>
  <c r="K42" i="2"/>
  <c r="B22" i="3"/>
  <c r="B31" i="3"/>
  <c r="Q44" i="2"/>
  <c r="Q40" i="2"/>
  <c r="Q36" i="2"/>
  <c r="Q32" i="2"/>
  <c r="Q28" i="2"/>
  <c r="Q24" i="2"/>
  <c r="Q20" i="2"/>
  <c r="Q16" i="2"/>
  <c r="Q12" i="2"/>
  <c r="Q7" i="2"/>
  <c r="Q43" i="2"/>
  <c r="Q39" i="2"/>
  <c r="Q35" i="2"/>
  <c r="Q31" i="2"/>
  <c r="Q27" i="2"/>
  <c r="Q23" i="2"/>
  <c r="Q19" i="2"/>
  <c r="Q15" i="2"/>
  <c r="Q10" i="2"/>
  <c r="Q42" i="2"/>
  <c r="Q38" i="2"/>
  <c r="Q34" i="2"/>
  <c r="Q30" i="2"/>
  <c r="Q26" i="2"/>
  <c r="Q22" i="2"/>
  <c r="Q18" i="2"/>
  <c r="Q14" i="2"/>
  <c r="Q9" i="2"/>
  <c r="Q6" i="2"/>
  <c r="Q41" i="2"/>
  <c r="Q37" i="2"/>
  <c r="Q33" i="2"/>
  <c r="Q29" i="2"/>
  <c r="Q25" i="2"/>
  <c r="Q21" i="2"/>
  <c r="Q17" i="2"/>
  <c r="Q13" i="2"/>
  <c r="Q11" i="2"/>
  <c r="V10" i="2"/>
  <c r="V12" i="2"/>
  <c r="V14" i="2"/>
  <c r="V8" i="2"/>
  <c r="V6" i="2"/>
  <c r="V13" i="2"/>
  <c r="V7" i="2"/>
  <c r="V9" i="2"/>
  <c r="V11" i="2"/>
  <c r="V15" i="2"/>
  <c r="H7" i="1"/>
  <c r="H6" i="1"/>
  <c r="H10" i="1"/>
  <c r="H3" i="1"/>
  <c r="H9" i="1"/>
  <c r="H5" i="1"/>
  <c r="H8" i="1"/>
  <c r="H4" i="1"/>
  <c r="H12" i="1"/>
  <c r="H11" i="1"/>
  <c r="P9" i="10" l="1"/>
  <c r="P13" i="10"/>
  <c r="P17" i="10"/>
  <c r="P21" i="10"/>
  <c r="P25" i="10"/>
  <c r="P29" i="10"/>
  <c r="P33" i="10"/>
  <c r="P37" i="10"/>
  <c r="P41" i="10"/>
  <c r="P30" i="10"/>
  <c r="P34" i="10"/>
  <c r="P38" i="10"/>
  <c r="P8" i="10"/>
  <c r="P12" i="10"/>
  <c r="P16" i="10"/>
  <c r="P20" i="10"/>
  <c r="P24" i="10"/>
  <c r="P28" i="10"/>
  <c r="P32" i="10"/>
  <c r="P36" i="10"/>
  <c r="P40" i="10"/>
  <c r="P44" i="10"/>
  <c r="P10" i="10"/>
  <c r="P18" i="10"/>
  <c r="P26" i="10"/>
  <c r="P7" i="10"/>
  <c r="P11" i="10"/>
  <c r="P15" i="10"/>
  <c r="P19" i="10"/>
  <c r="P23" i="10"/>
  <c r="P27" i="10"/>
  <c r="P31" i="10"/>
  <c r="P35" i="10"/>
  <c r="P39" i="10"/>
  <c r="P43" i="10"/>
  <c r="P14" i="10"/>
  <c r="P22" i="10"/>
  <c r="P42" i="10"/>
  <c r="O8" i="10"/>
  <c r="O12" i="10"/>
  <c r="R12" i="10" s="1"/>
  <c r="O16" i="10"/>
  <c r="O20" i="10"/>
  <c r="O24" i="10"/>
  <c r="O28" i="10"/>
  <c r="O32" i="10"/>
  <c r="O36" i="10"/>
  <c r="O40" i="10"/>
  <c r="O44" i="10"/>
  <c r="R44" i="10" s="1"/>
  <c r="O9" i="10"/>
  <c r="O13" i="10"/>
  <c r="O17" i="10"/>
  <c r="O21" i="10"/>
  <c r="O41" i="10"/>
  <c r="O7" i="10"/>
  <c r="O11" i="10"/>
  <c r="O15" i="10"/>
  <c r="O19" i="10"/>
  <c r="O23" i="10"/>
  <c r="O27" i="10"/>
  <c r="O31" i="10"/>
  <c r="R31" i="10" s="1"/>
  <c r="O35" i="10"/>
  <c r="O39" i="10"/>
  <c r="O43" i="10"/>
  <c r="O29" i="10"/>
  <c r="O10" i="10"/>
  <c r="O14" i="10"/>
  <c r="O18" i="10"/>
  <c r="O22" i="10"/>
  <c r="O26" i="10"/>
  <c r="O30" i="10"/>
  <c r="O34" i="10"/>
  <c r="O38" i="10"/>
  <c r="O42" i="10"/>
  <c r="O25" i="10"/>
  <c r="O33" i="10"/>
  <c r="O37" i="10"/>
  <c r="R37" i="10" s="1"/>
  <c r="Q10" i="10"/>
  <c r="Q14" i="10"/>
  <c r="Q18" i="10"/>
  <c r="Q22" i="10"/>
  <c r="Q26" i="10"/>
  <c r="Q30" i="10"/>
  <c r="Q34" i="10"/>
  <c r="Q38" i="10"/>
  <c r="Q42" i="10"/>
  <c r="Q7" i="10"/>
  <c r="Q9" i="10"/>
  <c r="Q13" i="10"/>
  <c r="Q17" i="10"/>
  <c r="Q21" i="10"/>
  <c r="Q25" i="10"/>
  <c r="Q29" i="10"/>
  <c r="Q33" i="10"/>
  <c r="Q37" i="10"/>
  <c r="Q41" i="10"/>
  <c r="Q15" i="10"/>
  <c r="Q23" i="10"/>
  <c r="Q39" i="10"/>
  <c r="Q43" i="10"/>
  <c r="Q8" i="10"/>
  <c r="Q12" i="10"/>
  <c r="Q16" i="10"/>
  <c r="Q20" i="10"/>
  <c r="Q24" i="10"/>
  <c r="Q28" i="10"/>
  <c r="Q32" i="10"/>
  <c r="Q36" i="10"/>
  <c r="Q40" i="10"/>
  <c r="Q44" i="10"/>
  <c r="Q11" i="10"/>
  <c r="Q19" i="10"/>
  <c r="Q27" i="10"/>
  <c r="Q31" i="10"/>
  <c r="Q35" i="10"/>
  <c r="N7" i="10"/>
  <c r="N11" i="10"/>
  <c r="N15" i="10"/>
  <c r="N19" i="10"/>
  <c r="N23" i="10"/>
  <c r="N27" i="10"/>
  <c r="N31" i="10"/>
  <c r="N35" i="10"/>
  <c r="N39" i="10"/>
  <c r="N43" i="10"/>
  <c r="N12" i="10"/>
  <c r="N16" i="10"/>
  <c r="N20" i="10"/>
  <c r="N28" i="10"/>
  <c r="R28" i="10" s="1"/>
  <c r="N44" i="10"/>
  <c r="N10" i="10"/>
  <c r="N14" i="10"/>
  <c r="N18" i="10"/>
  <c r="N22" i="10"/>
  <c r="N26" i="10"/>
  <c r="N30" i="10"/>
  <c r="N34" i="10"/>
  <c r="N38" i="10"/>
  <c r="N42" i="10"/>
  <c r="N8" i="10"/>
  <c r="N32" i="10"/>
  <c r="N36" i="10"/>
  <c r="N9" i="10"/>
  <c r="N13" i="10"/>
  <c r="N17" i="10"/>
  <c r="N21" i="10"/>
  <c r="N25" i="10"/>
  <c r="N29" i="10"/>
  <c r="N33" i="10"/>
  <c r="N37" i="10"/>
  <c r="N41" i="10"/>
  <c r="N24" i="10"/>
  <c r="N40" i="10"/>
  <c r="Q42" i="11"/>
  <c r="Q38" i="11"/>
  <c r="Q34" i="11"/>
  <c r="Q32" i="11"/>
  <c r="Q28" i="11"/>
  <c r="Q24" i="11"/>
  <c r="Q20" i="11"/>
  <c r="Q44" i="11"/>
  <c r="Q40" i="11"/>
  <c r="Q36" i="11"/>
  <c r="Q30" i="11"/>
  <c r="Q26" i="11"/>
  <c r="Q22" i="11"/>
  <c r="Q39" i="11"/>
  <c r="Q19" i="11"/>
  <c r="Q15" i="11"/>
  <c r="Q13" i="11"/>
  <c r="Q11" i="11"/>
  <c r="Q9" i="11"/>
  <c r="Q37" i="11"/>
  <c r="Q18" i="11"/>
  <c r="Q17" i="11"/>
  <c r="Q43" i="11"/>
  <c r="Q31" i="11"/>
  <c r="Q23" i="11"/>
  <c r="Q14" i="11"/>
  <c r="Q10" i="11"/>
  <c r="Q6" i="11"/>
  <c r="Q35" i="11"/>
  <c r="Q16" i="11"/>
  <c r="Q7" i="11"/>
  <c r="Q41" i="11"/>
  <c r="Q29" i="11"/>
  <c r="Q21" i="11"/>
  <c r="Q27" i="11"/>
  <c r="Q12" i="11"/>
  <c r="Q8" i="11"/>
  <c r="Q33" i="11"/>
  <c r="Q25" i="11"/>
  <c r="N43" i="11"/>
  <c r="N39" i="11"/>
  <c r="N35" i="11"/>
  <c r="N31" i="11"/>
  <c r="N27" i="11"/>
  <c r="N23" i="11"/>
  <c r="N44" i="11"/>
  <c r="N41" i="11"/>
  <c r="N37" i="11"/>
  <c r="N33" i="11"/>
  <c r="N29" i="11"/>
  <c r="N25" i="11"/>
  <c r="N21" i="11"/>
  <c r="N42" i="11"/>
  <c r="N34" i="11"/>
  <c r="N20" i="11"/>
  <c r="N18" i="11"/>
  <c r="N17" i="11"/>
  <c r="N40" i="11"/>
  <c r="N16" i="11"/>
  <c r="N14" i="11"/>
  <c r="N12" i="11"/>
  <c r="N10" i="11"/>
  <c r="N8" i="11"/>
  <c r="N38" i="11"/>
  <c r="N28" i="11"/>
  <c r="N13" i="11"/>
  <c r="N9" i="11"/>
  <c r="N32" i="11"/>
  <c r="N11" i="11"/>
  <c r="N36" i="11"/>
  <c r="N26" i="11"/>
  <c r="N7" i="11"/>
  <c r="N24" i="11"/>
  <c r="N15" i="11"/>
  <c r="N30" i="11"/>
  <c r="N22" i="11"/>
  <c r="N19" i="11"/>
  <c r="N6" i="11"/>
  <c r="O44" i="11"/>
  <c r="O40" i="11"/>
  <c r="O36" i="11"/>
  <c r="O30" i="11"/>
  <c r="O26" i="11"/>
  <c r="O22" i="11"/>
  <c r="O42" i="11"/>
  <c r="O38" i="11"/>
  <c r="O34" i="11"/>
  <c r="O32" i="11"/>
  <c r="O28" i="11"/>
  <c r="O24" i="11"/>
  <c r="O41" i="11"/>
  <c r="O33" i="11"/>
  <c r="O31" i="11"/>
  <c r="O29" i="11"/>
  <c r="O27" i="11"/>
  <c r="O25" i="11"/>
  <c r="O23" i="11"/>
  <c r="O21" i="11"/>
  <c r="O16" i="11"/>
  <c r="O14" i="11"/>
  <c r="O12" i="11"/>
  <c r="O10" i="11"/>
  <c r="O8" i="11"/>
  <c r="O39" i="11"/>
  <c r="O37" i="11"/>
  <c r="O17" i="11"/>
  <c r="O7" i="11"/>
  <c r="O19" i="11"/>
  <c r="O43" i="11"/>
  <c r="O20" i="11"/>
  <c r="O18" i="11"/>
  <c r="O15" i="11"/>
  <c r="O11" i="11"/>
  <c r="O6" i="11"/>
  <c r="O35" i="11"/>
  <c r="O13" i="11"/>
  <c r="O9" i="11"/>
  <c r="P44" i="11"/>
  <c r="P41" i="11"/>
  <c r="P37" i="11"/>
  <c r="P33" i="11"/>
  <c r="P29" i="11"/>
  <c r="P25" i="11"/>
  <c r="P21" i="11"/>
  <c r="P43" i="11"/>
  <c r="P39" i="11"/>
  <c r="P35" i="11"/>
  <c r="P31" i="11"/>
  <c r="P27" i="11"/>
  <c r="P23" i="11"/>
  <c r="P40" i="11"/>
  <c r="P38" i="11"/>
  <c r="P32" i="11"/>
  <c r="P30" i="11"/>
  <c r="P28" i="11"/>
  <c r="P26" i="11"/>
  <c r="P24" i="11"/>
  <c r="P22" i="11"/>
  <c r="P19" i="11"/>
  <c r="P15" i="11"/>
  <c r="P13" i="11"/>
  <c r="P11" i="11"/>
  <c r="P9" i="11"/>
  <c r="P36" i="11"/>
  <c r="P20" i="11"/>
  <c r="P18" i="11"/>
  <c r="P34" i="11"/>
  <c r="P14" i="11"/>
  <c r="P10" i="11"/>
  <c r="P6" i="11"/>
  <c r="P42" i="11"/>
  <c r="P17" i="11"/>
  <c r="P16" i="11"/>
  <c r="P12" i="11"/>
  <c r="P8" i="11"/>
  <c r="P7" i="11"/>
  <c r="O6" i="10"/>
  <c r="P6" i="10"/>
  <c r="N6" i="10"/>
  <c r="Q6" i="10"/>
  <c r="P32" i="5"/>
  <c r="P36" i="5"/>
  <c r="P40" i="5"/>
  <c r="P44" i="5"/>
  <c r="P37" i="5"/>
  <c r="P34" i="5"/>
  <c r="P38" i="5"/>
  <c r="P42" i="5"/>
  <c r="P33" i="5"/>
  <c r="P35" i="5"/>
  <c r="P39" i="5"/>
  <c r="P43" i="5"/>
  <c r="P41" i="5"/>
  <c r="P29" i="5"/>
  <c r="P30" i="5"/>
  <c r="P31" i="5"/>
  <c r="Q29" i="5"/>
  <c r="Q33" i="5"/>
  <c r="Q37" i="5"/>
  <c r="Q41" i="5"/>
  <c r="Q30" i="5"/>
  <c r="Q34" i="5"/>
  <c r="Q38" i="5"/>
  <c r="Q42" i="5"/>
  <c r="Q31" i="5"/>
  <c r="Q35" i="5"/>
  <c r="Q39" i="5"/>
  <c r="Q43" i="5"/>
  <c r="Q32" i="5"/>
  <c r="Q36" i="5"/>
  <c r="Q40" i="5"/>
  <c r="Q44" i="5"/>
  <c r="P28" i="5"/>
  <c r="P27" i="5"/>
  <c r="Q7" i="5"/>
  <c r="Q11" i="5"/>
  <c r="Q15" i="5"/>
  <c r="Q19" i="5"/>
  <c r="Q23" i="5"/>
  <c r="Q27" i="5"/>
  <c r="Q8" i="5"/>
  <c r="Q12" i="5"/>
  <c r="Q16" i="5"/>
  <c r="Q20" i="5"/>
  <c r="Q24" i="5"/>
  <c r="Q28" i="5"/>
  <c r="Q9" i="5"/>
  <c r="Q13" i="5"/>
  <c r="Q17" i="5"/>
  <c r="Q21" i="5"/>
  <c r="Q25" i="5"/>
  <c r="Q6" i="5"/>
  <c r="Q10" i="5"/>
  <c r="Q14" i="5"/>
  <c r="Q18" i="5"/>
  <c r="Q22" i="5"/>
  <c r="Q26" i="5"/>
  <c r="P7" i="5"/>
  <c r="P11" i="5"/>
  <c r="P15" i="5"/>
  <c r="P19" i="5"/>
  <c r="P23" i="5"/>
  <c r="P8" i="5"/>
  <c r="P12" i="5"/>
  <c r="P16" i="5"/>
  <c r="P20" i="5"/>
  <c r="P24" i="5"/>
  <c r="P9" i="5"/>
  <c r="P13" i="5"/>
  <c r="P17" i="5"/>
  <c r="P21" i="5"/>
  <c r="P25" i="5"/>
  <c r="P6" i="5"/>
  <c r="P10" i="5"/>
  <c r="P14" i="5"/>
  <c r="P18" i="5"/>
  <c r="P22" i="5"/>
  <c r="P26" i="5"/>
  <c r="O8" i="5"/>
  <c r="O12" i="5"/>
  <c r="O16" i="5"/>
  <c r="O20" i="5"/>
  <c r="O24" i="5"/>
  <c r="O28" i="5"/>
  <c r="O32" i="5"/>
  <c r="O36" i="5"/>
  <c r="O40" i="5"/>
  <c r="O44" i="5"/>
  <c r="O9" i="5"/>
  <c r="O13" i="5"/>
  <c r="O17" i="5"/>
  <c r="O21" i="5"/>
  <c r="O25" i="5"/>
  <c r="O29" i="5"/>
  <c r="O33" i="5"/>
  <c r="O37" i="5"/>
  <c r="O41" i="5"/>
  <c r="O6" i="5"/>
  <c r="O10" i="5"/>
  <c r="O14" i="5"/>
  <c r="O18" i="5"/>
  <c r="O22" i="5"/>
  <c r="O26" i="5"/>
  <c r="O30" i="5"/>
  <c r="O34" i="5"/>
  <c r="O38" i="5"/>
  <c r="O42" i="5"/>
  <c r="O7" i="5"/>
  <c r="O11" i="5"/>
  <c r="O15" i="5"/>
  <c r="O19" i="5"/>
  <c r="O23" i="5"/>
  <c r="O27" i="5"/>
  <c r="O31" i="5"/>
  <c r="O35" i="5"/>
  <c r="O39" i="5"/>
  <c r="O43" i="5"/>
  <c r="N10" i="5"/>
  <c r="N14" i="5"/>
  <c r="N18" i="5"/>
  <c r="N22" i="5"/>
  <c r="N26" i="5"/>
  <c r="N30" i="5"/>
  <c r="N34" i="5"/>
  <c r="N38" i="5"/>
  <c r="N42" i="5"/>
  <c r="N7" i="5"/>
  <c r="N11" i="5"/>
  <c r="N15" i="5"/>
  <c r="N19" i="5"/>
  <c r="N23" i="5"/>
  <c r="N27" i="5"/>
  <c r="N31" i="5"/>
  <c r="N35" i="5"/>
  <c r="N39" i="5"/>
  <c r="N43" i="5"/>
  <c r="N8" i="5"/>
  <c r="N12" i="5"/>
  <c r="N16" i="5"/>
  <c r="N20" i="5"/>
  <c r="N24" i="5"/>
  <c r="N28" i="5"/>
  <c r="N32" i="5"/>
  <c r="N36" i="5"/>
  <c r="N40" i="5"/>
  <c r="N44" i="5"/>
  <c r="N9" i="5"/>
  <c r="N13" i="5"/>
  <c r="N17" i="5"/>
  <c r="N21" i="5"/>
  <c r="N25" i="5"/>
  <c r="N29" i="5"/>
  <c r="N33" i="5"/>
  <c r="N37" i="5"/>
  <c r="N41" i="5"/>
  <c r="N6" i="5"/>
  <c r="O23" i="2"/>
  <c r="P26" i="2"/>
  <c r="N18" i="2"/>
  <c r="P9" i="2"/>
  <c r="N28" i="2"/>
  <c r="N15" i="2"/>
  <c r="P21" i="2"/>
  <c r="P15" i="2"/>
  <c r="P16" i="2"/>
  <c r="P37" i="2"/>
  <c r="N12" i="2"/>
  <c r="P34" i="2"/>
  <c r="P31" i="2"/>
  <c r="P32" i="2"/>
  <c r="N41" i="2"/>
  <c r="N44" i="2"/>
  <c r="N34" i="2"/>
  <c r="O33" i="2"/>
  <c r="P42" i="2"/>
  <c r="P36" i="2"/>
  <c r="P14" i="2"/>
  <c r="P23" i="2"/>
  <c r="P39" i="2"/>
  <c r="P7" i="2"/>
  <c r="P24" i="2"/>
  <c r="P40" i="2"/>
  <c r="P13" i="2"/>
  <c r="P29" i="2"/>
  <c r="P6" i="2"/>
  <c r="P18" i="2"/>
  <c r="P38" i="2"/>
  <c r="P10" i="2"/>
  <c r="P19" i="2"/>
  <c r="P35" i="2"/>
  <c r="P20" i="2"/>
  <c r="P8" i="2"/>
  <c r="P25" i="2"/>
  <c r="P41" i="2"/>
  <c r="P30" i="2"/>
  <c r="P11" i="2"/>
  <c r="P27" i="2"/>
  <c r="P43" i="2"/>
  <c r="P12" i="2"/>
  <c r="P28" i="2"/>
  <c r="P44" i="2"/>
  <c r="P17" i="2"/>
  <c r="P33" i="2"/>
  <c r="P22" i="2"/>
  <c r="O39" i="2"/>
  <c r="O36" i="2"/>
  <c r="O17" i="2"/>
  <c r="O20" i="2"/>
  <c r="O42" i="2"/>
  <c r="N31" i="2"/>
  <c r="N13" i="2"/>
  <c r="N25" i="2"/>
  <c r="N8" i="2"/>
  <c r="N11" i="2"/>
  <c r="N40" i="2"/>
  <c r="N24" i="2"/>
  <c r="N43" i="2"/>
  <c r="N27" i="2"/>
  <c r="N10" i="2"/>
  <c r="N30" i="2"/>
  <c r="N14" i="2"/>
  <c r="N37" i="2"/>
  <c r="N21" i="2"/>
  <c r="N36" i="2"/>
  <c r="N20" i="2"/>
  <c r="N39" i="2"/>
  <c r="N23" i="2"/>
  <c r="N42" i="2"/>
  <c r="N26" i="2"/>
  <c r="N9" i="2"/>
  <c r="N33" i="2"/>
  <c r="N17" i="2"/>
  <c r="N7" i="2"/>
  <c r="N32" i="2"/>
  <c r="N16" i="2"/>
  <c r="N35" i="2"/>
  <c r="N19" i="2"/>
  <c r="N38" i="2"/>
  <c r="N22" i="2"/>
  <c r="N6" i="2"/>
  <c r="N29" i="2"/>
  <c r="O11" i="2"/>
  <c r="O27" i="2"/>
  <c r="O43" i="2"/>
  <c r="O7" i="2"/>
  <c r="O24" i="2"/>
  <c r="O40" i="2"/>
  <c r="O21" i="2"/>
  <c r="O37" i="2"/>
  <c r="O18" i="2"/>
  <c r="O34" i="2"/>
  <c r="O14" i="2"/>
  <c r="O30" i="2"/>
  <c r="O15" i="2"/>
  <c r="O31" i="2"/>
  <c r="O12" i="2"/>
  <c r="O28" i="2"/>
  <c r="O44" i="2"/>
  <c r="O8" i="2"/>
  <c r="O25" i="2"/>
  <c r="O41" i="2"/>
  <c r="O22" i="2"/>
  <c r="O38" i="2"/>
  <c r="O10" i="2"/>
  <c r="O19" i="2"/>
  <c r="O35" i="2"/>
  <c r="O16" i="2"/>
  <c r="O32" i="2"/>
  <c r="O13" i="2"/>
  <c r="O29" i="2"/>
  <c r="O6" i="2"/>
  <c r="O9" i="2"/>
  <c r="O26" i="2"/>
  <c r="R27" i="11" l="1"/>
  <c r="S27" i="11" s="1"/>
  <c r="T27" i="11" s="1"/>
  <c r="R29" i="11"/>
  <c r="S29" i="11" s="1"/>
  <c r="T29" i="11" s="1"/>
  <c r="R20" i="11"/>
  <c r="S20" i="11" s="1"/>
  <c r="T20" i="11" s="1"/>
  <c r="R36" i="11"/>
  <c r="S36" i="11" s="1"/>
  <c r="T36" i="11" s="1"/>
  <c r="R43" i="11"/>
  <c r="S43" i="11" s="1"/>
  <c r="T43" i="11" s="1"/>
  <c r="R21" i="11"/>
  <c r="S21" i="11" s="1"/>
  <c r="T21" i="11" s="1"/>
  <c r="R40" i="11"/>
  <c r="S40" i="11" s="1"/>
  <c r="T40" i="11" s="1"/>
  <c r="R26" i="11"/>
  <c r="R39" i="11"/>
  <c r="S39" i="11" s="1"/>
  <c r="T39" i="11" s="1"/>
  <c r="R25" i="11"/>
  <c r="S25" i="11" s="1"/>
  <c r="T25" i="11" s="1"/>
  <c r="R17" i="11"/>
  <c r="R32" i="11"/>
  <c r="S32" i="11" s="1"/>
  <c r="T32" i="11" s="1"/>
  <c r="R35" i="11"/>
  <c r="S35" i="11" s="1"/>
  <c r="T35" i="11" s="1"/>
  <c r="R41" i="11"/>
  <c r="S41" i="11" s="1"/>
  <c r="T41" i="11" s="1"/>
  <c r="R42" i="11"/>
  <c r="S42" i="11" s="1"/>
  <c r="T42" i="11" s="1"/>
  <c r="R16" i="11"/>
  <c r="S16" i="11" s="1"/>
  <c r="R31" i="11"/>
  <c r="R37" i="11"/>
  <c r="R18" i="11"/>
  <c r="S18" i="11" s="1"/>
  <c r="T18" i="11" s="1"/>
  <c r="R28" i="11"/>
  <c r="S28" i="11" s="1"/>
  <c r="T28" i="11" s="1"/>
  <c r="R23" i="11"/>
  <c r="S23" i="11" s="1"/>
  <c r="T23" i="11" s="1"/>
  <c r="R33" i="11"/>
  <c r="S33" i="11" s="1"/>
  <c r="T33" i="11" s="1"/>
  <c r="R34" i="11"/>
  <c r="S34" i="11" s="1"/>
  <c r="T34" i="11" s="1"/>
  <c r="R38" i="11"/>
  <c r="S38" i="11" s="1"/>
  <c r="T38" i="11" s="1"/>
  <c r="R24" i="11"/>
  <c r="S24" i="11" s="1"/>
  <c r="T24" i="11" s="1"/>
  <c r="R30" i="11"/>
  <c r="S30" i="11" s="1"/>
  <c r="T30" i="11" s="1"/>
  <c r="R22" i="11"/>
  <c r="S22" i="11" s="1"/>
  <c r="T22" i="11" s="1"/>
  <c r="R19" i="11"/>
  <c r="S19" i="11" s="1"/>
  <c r="T19" i="11" s="1"/>
  <c r="R44" i="11"/>
  <c r="S44" i="11" s="1"/>
  <c r="T44" i="11" s="1"/>
  <c r="R9" i="11"/>
  <c r="S9" i="11" s="1"/>
  <c r="T9" i="11" s="1"/>
  <c r="S31" i="11"/>
  <c r="T31" i="11" s="1"/>
  <c r="S37" i="11"/>
  <c r="T37" i="11" s="1"/>
  <c r="R14" i="11"/>
  <c r="S14" i="11" s="1"/>
  <c r="T14" i="11" s="1"/>
  <c r="R8" i="11"/>
  <c r="S8" i="11" s="1"/>
  <c r="T8" i="11" s="1"/>
  <c r="R40" i="10"/>
  <c r="S40" i="10" s="1"/>
  <c r="T40" i="10" s="1"/>
  <c r="R33" i="10"/>
  <c r="S33" i="10" s="1"/>
  <c r="T33" i="10" s="1"/>
  <c r="R8" i="10"/>
  <c r="S8" i="10" s="1"/>
  <c r="T8" i="10" s="1"/>
  <c r="R36" i="10"/>
  <c r="S36" i="10" s="1"/>
  <c r="T36" i="10" s="1"/>
  <c r="R38" i="10"/>
  <c r="S38" i="10" s="1"/>
  <c r="T38" i="10" s="1"/>
  <c r="R29" i="10"/>
  <c r="S29" i="10" s="1"/>
  <c r="T29" i="10" s="1"/>
  <c r="R39" i="10"/>
  <c r="S39" i="10" s="1"/>
  <c r="T39" i="10" s="1"/>
  <c r="R34" i="10"/>
  <c r="S34" i="10" s="1"/>
  <c r="T34" i="10" s="1"/>
  <c r="R42" i="10"/>
  <c r="S42" i="10" s="1"/>
  <c r="T42" i="10" s="1"/>
  <c r="R35" i="10"/>
  <c r="S35" i="10" s="1"/>
  <c r="T35" i="10" s="1"/>
  <c r="R11" i="10"/>
  <c r="S11" i="10" s="1"/>
  <c r="T11" i="10" s="1"/>
  <c r="R41" i="10"/>
  <c r="S41" i="10" s="1"/>
  <c r="T41" i="10" s="1"/>
  <c r="R43" i="10"/>
  <c r="S43" i="10" s="1"/>
  <c r="T43" i="10" s="1"/>
  <c r="R23" i="10"/>
  <c r="S23" i="10" s="1"/>
  <c r="T23" i="10" s="1"/>
  <c r="R25" i="10"/>
  <c r="S25" i="10" s="1"/>
  <c r="T25" i="10" s="1"/>
  <c r="R7" i="10"/>
  <c r="S7" i="10" s="1"/>
  <c r="T7" i="10" s="1"/>
  <c r="R32" i="10"/>
  <c r="S32" i="10" s="1"/>
  <c r="T32" i="10" s="1"/>
  <c r="R27" i="10"/>
  <c r="S27" i="10" s="1"/>
  <c r="T27" i="10" s="1"/>
  <c r="R22" i="10"/>
  <c r="S22" i="10" s="1"/>
  <c r="T22" i="10" s="1"/>
  <c r="R24" i="10"/>
  <c r="S24" i="10" s="1"/>
  <c r="T24" i="10" s="1"/>
  <c r="R15" i="10"/>
  <c r="S15" i="10" s="1"/>
  <c r="T15" i="10" s="1"/>
  <c r="R26" i="10"/>
  <c r="S26" i="10" s="1"/>
  <c r="T26" i="10" s="1"/>
  <c r="R9" i="10"/>
  <c r="S9" i="10" s="1"/>
  <c r="T9" i="10" s="1"/>
  <c r="R21" i="10"/>
  <c r="S21" i="10" s="1"/>
  <c r="R30" i="10"/>
  <c r="S30" i="10" s="1"/>
  <c r="T30" i="10" s="1"/>
  <c r="R10" i="10"/>
  <c r="S10" i="10" s="1"/>
  <c r="T10" i="10" s="1"/>
  <c r="R20" i="10"/>
  <c r="S20" i="10" s="1"/>
  <c r="T20" i="10" s="1"/>
  <c r="R19" i="10"/>
  <c r="S19" i="10" s="1"/>
  <c r="T19" i="10" s="1"/>
  <c r="R17" i="10"/>
  <c r="S17" i="10" s="1"/>
  <c r="T17" i="10" s="1"/>
  <c r="R18" i="10"/>
  <c r="S18" i="10" s="1"/>
  <c r="R16" i="10"/>
  <c r="S16" i="10" s="1"/>
  <c r="T16" i="10" s="1"/>
  <c r="R14" i="10"/>
  <c r="S14" i="10" s="1"/>
  <c r="T14" i="10" s="1"/>
  <c r="R13" i="10"/>
  <c r="S13" i="10" s="1"/>
  <c r="T13" i="10" s="1"/>
  <c r="R6" i="10"/>
  <c r="S6" i="10" s="1"/>
  <c r="T6" i="10" s="1"/>
  <c r="R7" i="11"/>
  <c r="S7" i="11" s="1"/>
  <c r="T7" i="11" s="1"/>
  <c r="R6" i="11"/>
  <c r="S6" i="11" s="1"/>
  <c r="T6" i="11" s="1"/>
  <c r="R15" i="11"/>
  <c r="R13" i="11"/>
  <c r="R10" i="11"/>
  <c r="S10" i="11" s="1"/>
  <c r="T10" i="11" s="1"/>
  <c r="R11" i="11"/>
  <c r="S11" i="11" s="1"/>
  <c r="T11" i="11" s="1"/>
  <c r="R12" i="11"/>
  <c r="S12" i="11" s="1"/>
  <c r="T12" i="11" s="1"/>
  <c r="S37" i="10"/>
  <c r="S12" i="10"/>
  <c r="T12" i="10" s="1"/>
  <c r="S28" i="10"/>
  <c r="T28" i="10" s="1"/>
  <c r="S44" i="10"/>
  <c r="T44" i="10" s="1"/>
  <c r="S31" i="10"/>
  <c r="T31" i="10" s="1"/>
  <c r="R39" i="5"/>
  <c r="R36" i="5"/>
  <c r="R35" i="5"/>
  <c r="S35" i="5" s="1"/>
  <c r="T35" i="5" s="1"/>
  <c r="R26" i="5"/>
  <c r="S26" i="5" s="1"/>
  <c r="T26" i="5" s="1"/>
  <c r="R38" i="5"/>
  <c r="S38" i="5" s="1"/>
  <c r="T38" i="5" s="1"/>
  <c r="R20" i="5"/>
  <c r="S20" i="5" s="1"/>
  <c r="T20" i="5" s="1"/>
  <c r="R37" i="5"/>
  <c r="S37" i="5" s="1"/>
  <c r="T37" i="5" s="1"/>
  <c r="R42" i="5"/>
  <c r="R44" i="5"/>
  <c r="S44" i="5" s="1"/>
  <c r="T44" i="5" s="1"/>
  <c r="R31" i="5"/>
  <c r="S31" i="5" s="1"/>
  <c r="T31" i="5" s="1"/>
  <c r="R21" i="5"/>
  <c r="S21" i="5" s="1"/>
  <c r="T21" i="5" s="1"/>
  <c r="R30" i="5"/>
  <c r="S30" i="5" s="1"/>
  <c r="T30" i="5" s="1"/>
  <c r="R29" i="5"/>
  <c r="S29" i="5" s="1"/>
  <c r="T29" i="5" s="1"/>
  <c r="R33" i="5"/>
  <c r="S33" i="5" s="1"/>
  <c r="T33" i="5" s="1"/>
  <c r="R40" i="5"/>
  <c r="S40" i="5" s="1"/>
  <c r="T40" i="5" s="1"/>
  <c r="R16" i="5"/>
  <c r="S16" i="5" s="1"/>
  <c r="R28" i="5"/>
  <c r="S28" i="5" s="1"/>
  <c r="R12" i="5"/>
  <c r="S12" i="5" s="1"/>
  <c r="T12" i="5" s="1"/>
  <c r="R41" i="5"/>
  <c r="S41" i="5" s="1"/>
  <c r="T41" i="5" s="1"/>
  <c r="R43" i="5"/>
  <c r="S43" i="5" s="1"/>
  <c r="T43" i="5" s="1"/>
  <c r="R27" i="5"/>
  <c r="S27" i="5" s="1"/>
  <c r="T27" i="5" s="1"/>
  <c r="R34" i="5"/>
  <c r="S34" i="5" s="1"/>
  <c r="T34" i="5" s="1"/>
  <c r="R32" i="5"/>
  <c r="S32" i="5" s="1"/>
  <c r="T32" i="5" s="1"/>
  <c r="S42" i="5"/>
  <c r="T42" i="5" s="1"/>
  <c r="R18" i="5"/>
  <c r="S18" i="5" s="1"/>
  <c r="T18" i="5" s="1"/>
  <c r="R14" i="5"/>
  <c r="S14" i="5" s="1"/>
  <c r="T14" i="5" s="1"/>
  <c r="R17" i="5"/>
  <c r="S17" i="5" s="1"/>
  <c r="T17" i="5" s="1"/>
  <c r="R8" i="5"/>
  <c r="S8" i="5" s="1"/>
  <c r="T8" i="5" s="1"/>
  <c r="R22" i="5"/>
  <c r="S22" i="5" s="1"/>
  <c r="T22" i="5" s="1"/>
  <c r="R9" i="5"/>
  <c r="S9" i="5" s="1"/>
  <c r="T9" i="5" s="1"/>
  <c r="R13" i="5"/>
  <c r="S13" i="5" s="1"/>
  <c r="T13" i="5" s="1"/>
  <c r="S36" i="5"/>
  <c r="T36" i="5" s="1"/>
  <c r="R7" i="5"/>
  <c r="S7" i="5" s="1"/>
  <c r="T7" i="5" s="1"/>
  <c r="R6" i="5"/>
  <c r="S6" i="5" s="1"/>
  <c r="T6" i="5" s="1"/>
  <c r="R15" i="5"/>
  <c r="S15" i="5" s="1"/>
  <c r="T15" i="5" s="1"/>
  <c r="R19" i="5"/>
  <c r="S19" i="5" s="1"/>
  <c r="T19" i="5" s="1"/>
  <c r="R23" i="5"/>
  <c r="S23" i="5" s="1"/>
  <c r="T23" i="5" s="1"/>
  <c r="S39" i="5"/>
  <c r="T39" i="5" s="1"/>
  <c r="R24" i="5"/>
  <c r="R25" i="5"/>
  <c r="S25" i="5" s="1"/>
  <c r="T25" i="5" s="1"/>
  <c r="R10" i="5"/>
  <c r="S10" i="5" s="1"/>
  <c r="T10" i="5" s="1"/>
  <c r="R11" i="5"/>
  <c r="S11" i="5" s="1"/>
  <c r="T11" i="5" s="1"/>
  <c r="R18" i="2"/>
  <c r="S18" i="2" s="1"/>
  <c r="T18" i="2" s="1"/>
  <c r="R28" i="2"/>
  <c r="R15" i="2"/>
  <c r="R34" i="2"/>
  <c r="R9" i="2"/>
  <c r="R32" i="2"/>
  <c r="R31" i="2"/>
  <c r="R33" i="2"/>
  <c r="R23" i="2"/>
  <c r="R11" i="2"/>
  <c r="R42" i="2"/>
  <c r="R27" i="2"/>
  <c r="R39" i="2"/>
  <c r="R44" i="2"/>
  <c r="R37" i="2"/>
  <c r="R41" i="2"/>
  <c r="R38" i="2"/>
  <c r="R12" i="2"/>
  <c r="R43" i="2"/>
  <c r="R35" i="2"/>
  <c r="R17" i="2"/>
  <c r="R36" i="2"/>
  <c r="R24" i="2"/>
  <c r="R25" i="2"/>
  <c r="R6" i="2"/>
  <c r="R30" i="2"/>
  <c r="R13" i="2"/>
  <c r="R21" i="2"/>
  <c r="R7" i="2"/>
  <c r="S7" i="2" s="1"/>
  <c r="R20" i="2"/>
  <c r="R19" i="2"/>
  <c r="R29" i="2"/>
  <c r="R16" i="2"/>
  <c r="R10" i="2"/>
  <c r="R40" i="2"/>
  <c r="R26" i="2"/>
  <c r="R8" i="2"/>
  <c r="R14" i="2"/>
  <c r="R22" i="2"/>
  <c r="S26" i="11" l="1"/>
  <c r="T26" i="11" s="1"/>
  <c r="S13" i="11"/>
  <c r="T13" i="11" s="1"/>
  <c r="T16" i="11"/>
  <c r="T21" i="10"/>
  <c r="T18" i="10"/>
  <c r="T37" i="10"/>
  <c r="U4" i="10"/>
  <c r="S15" i="11"/>
  <c r="T15" i="11" s="1"/>
  <c r="U4" i="11"/>
  <c r="S17" i="11"/>
  <c r="T17" i="11" s="1"/>
  <c r="T16" i="5"/>
  <c r="T28" i="5"/>
  <c r="S24" i="5"/>
  <c r="T24" i="5" s="1"/>
  <c r="U4" i="5"/>
  <c r="S6" i="2"/>
  <c r="T6" i="2" s="1"/>
  <c r="S40" i="2"/>
  <c r="T40" i="2" s="1"/>
  <c r="S37" i="2"/>
  <c r="T37" i="2" s="1"/>
  <c r="S19" i="2"/>
  <c r="T19" i="2" s="1"/>
  <c r="S24" i="2"/>
  <c r="T24" i="2" s="1"/>
  <c r="S42" i="2"/>
  <c r="T42" i="2" s="1"/>
  <c r="S15" i="2"/>
  <c r="T15" i="2" s="1"/>
  <c r="S10" i="2"/>
  <c r="T10" i="2" s="1"/>
  <c r="S30" i="2"/>
  <c r="T30" i="2" s="1"/>
  <c r="S12" i="2"/>
  <c r="T12" i="2" s="1"/>
  <c r="S11" i="2"/>
  <c r="T11" i="2" s="1"/>
  <c r="S28" i="2"/>
  <c r="T28" i="2" s="1"/>
  <c r="S16" i="2"/>
  <c r="T16" i="2" s="1"/>
  <c r="S17" i="2"/>
  <c r="T17" i="2" s="1"/>
  <c r="S38" i="2"/>
  <c r="T38" i="2" s="1"/>
  <c r="S39" i="2"/>
  <c r="T39" i="2" s="1"/>
  <c r="S23" i="2"/>
  <c r="T23" i="2" s="1"/>
  <c r="S9" i="2"/>
  <c r="T9" i="2" s="1"/>
  <c r="S22" i="2"/>
  <c r="T22" i="2" s="1"/>
  <c r="S13" i="2"/>
  <c r="T13" i="2" s="1"/>
  <c r="S43" i="2"/>
  <c r="T43" i="2" s="1"/>
  <c r="S31" i="2"/>
  <c r="T31" i="2" s="1"/>
  <c r="S14" i="2"/>
  <c r="T14" i="2" s="1"/>
  <c r="S20" i="2"/>
  <c r="T20" i="2" s="1"/>
  <c r="S36" i="2"/>
  <c r="T36" i="2" s="1"/>
  <c r="S44" i="2"/>
  <c r="T44" i="2" s="1"/>
  <c r="S32" i="2"/>
  <c r="T32" i="2" s="1"/>
  <c r="S8" i="2"/>
  <c r="T8" i="2" s="1"/>
  <c r="S26" i="2"/>
  <c r="T26" i="2" s="1"/>
  <c r="S29" i="2"/>
  <c r="T29" i="2" s="1"/>
  <c r="S21" i="2"/>
  <c r="T21" i="2" s="1"/>
  <c r="S25" i="2"/>
  <c r="T25" i="2" s="1"/>
  <c r="S35" i="2"/>
  <c r="T35" i="2" s="1"/>
  <c r="S41" i="2"/>
  <c r="T41" i="2" s="1"/>
  <c r="S27" i="2"/>
  <c r="T27" i="2" s="1"/>
  <c r="S33" i="2"/>
  <c r="T33" i="2" s="1"/>
  <c r="S34" i="2"/>
  <c r="T34" i="2" s="1"/>
  <c r="U4" i="2"/>
  <c r="T7" i="2"/>
  <c r="V4" i="2" l="1"/>
</calcChain>
</file>

<file path=xl/sharedStrings.xml><?xml version="1.0" encoding="utf-8"?>
<sst xmlns="http://schemas.openxmlformats.org/spreadsheetml/2006/main" count="562" uniqueCount="159">
  <si>
    <t>Numero</t>
  </si>
  <si>
    <t>Origen</t>
  </si>
  <si>
    <t>Cantidad</t>
  </si>
  <si>
    <t>AVALORA</t>
  </si>
  <si>
    <t>Telefonica</t>
  </si>
  <si>
    <t>Abuelo - Traid</t>
  </si>
  <si>
    <t>Joserra</t>
  </si>
  <si>
    <t>Inma</t>
  </si>
  <si>
    <t>Belen</t>
  </si>
  <si>
    <t>Jose</t>
  </si>
  <si>
    <t>Terminacion</t>
  </si>
  <si>
    <t>€</t>
  </si>
  <si>
    <t>ALMENARA -TROPEZON</t>
  </si>
  <si>
    <t>Almenara-AL LIO</t>
  </si>
  <si>
    <t>ALMENARA - Neo</t>
  </si>
  <si>
    <t>CUSTODIA-ADMON 1 -MADRID</t>
  </si>
  <si>
    <t>Term.</t>
  </si>
  <si>
    <t>Barrio</t>
  </si>
  <si>
    <t>OHLA</t>
  </si>
  <si>
    <t>Oscar</t>
  </si>
  <si>
    <t>Gelo</t>
  </si>
  <si>
    <t>Paco</t>
  </si>
  <si>
    <t>Nandi</t>
  </si>
  <si>
    <t>Tío Evelio</t>
  </si>
  <si>
    <t>Sandra-Raul</t>
  </si>
  <si>
    <t>Joserra - Fran y yo</t>
  </si>
  <si>
    <t>Dani - Manu</t>
  </si>
  <si>
    <t>Dani - Manu - Nosotros</t>
  </si>
  <si>
    <t>Sandra TFS</t>
  </si>
  <si>
    <t>Telefonica tere</t>
  </si>
  <si>
    <t>Telefonica tere CUSTODIADO</t>
  </si>
  <si>
    <t>Santiago Compostela</t>
  </si>
  <si>
    <t>jamón el parque</t>
  </si>
  <si>
    <t>Evelio</t>
  </si>
  <si>
    <t>Abuelo</t>
  </si>
  <si>
    <t>Miguel Angel Loeches</t>
  </si>
  <si>
    <t>Paula AVALORA</t>
  </si>
  <si>
    <t>OHLA (Fran - Joserra)</t>
  </si>
  <si>
    <t>Dani</t>
  </si>
  <si>
    <t>Papás</t>
  </si>
  <si>
    <t>PREMIOS</t>
  </si>
  <si>
    <t>PREMIO POR SERIE</t>
  </si>
  <si>
    <t>PREMIO POR EURO JUGADO</t>
  </si>
  <si>
    <t>El Gordo (primer premio)</t>
  </si>
  <si>
    <t>Segundo premio</t>
  </si>
  <si>
    <t>Tercer premio</t>
  </si>
  <si>
    <t>Cuartos premios</t>
  </si>
  <si>
    <t>Quintos premios</t>
  </si>
  <si>
    <t>Pedreas de 5 cifras</t>
  </si>
  <si>
    <t>Centenas del segundo premio</t>
  </si>
  <si>
    <t>Centenas del tercer premio</t>
  </si>
  <si>
    <t>Dos últimas del primer premio</t>
  </si>
  <si>
    <t>Dos últimas del segundo premio</t>
  </si>
  <si>
    <t>Dos últimas del tercer premio</t>
  </si>
  <si>
    <t>Reintegros (última cifra del Gordo)</t>
  </si>
  <si>
    <t>PEDREA</t>
  </si>
  <si>
    <t>CANTIDAD- ORDEN</t>
  </si>
  <si>
    <t> ANTERIOR al primer premio</t>
  </si>
  <si>
    <t>POSTERIOR al primer premio</t>
  </si>
  <si>
    <t>ANTERIOR al segundo premio</t>
  </si>
  <si>
    <t>POSTERIOR al segundo premio</t>
  </si>
  <si>
    <t>ANTERIOR al tercer premio</t>
  </si>
  <si>
    <t>POSTERIOR al tercer premio</t>
  </si>
  <si>
    <r>
      <t xml:space="preserve">Centenas del primer premio </t>
    </r>
    <r>
      <rPr>
        <b/>
        <sz val="11"/>
        <color rgb="FFFF0000"/>
        <rFont val="Inherit"/>
      </rPr>
      <t>(3 PRIMERAS CIFRAS</t>
    </r>
    <r>
      <rPr>
        <b/>
        <sz val="11"/>
        <color theme="1"/>
        <rFont val="Inherit"/>
      </rPr>
      <t>)</t>
    </r>
  </si>
  <si>
    <t>Centenas de los cuartos Premio 1</t>
  </si>
  <si>
    <t>Centenas de los cuartos Premios 2</t>
  </si>
  <si>
    <t xml:space="preserve"> Números cantados</t>
  </si>
  <si>
    <t>GORDO</t>
  </si>
  <si>
    <t>NUMERO</t>
  </si>
  <si>
    <t>2PREMIO</t>
  </si>
  <si>
    <t>3ER</t>
  </si>
  <si>
    <t>CUARTO 1</t>
  </si>
  <si>
    <t>CUARTO 2</t>
  </si>
  <si>
    <t>QUINTOS</t>
  </si>
  <si>
    <t>no</t>
  </si>
  <si>
    <t>Anterior-posterior</t>
  </si>
  <si>
    <t>Centenas
3 primeras cifras</t>
  </si>
  <si>
    <t>Teerminaciones
(2 cifras)</t>
  </si>
  <si>
    <t>reintegro</t>
  </si>
  <si>
    <t>PREMIO</t>
  </si>
  <si>
    <t>3ER PREMIO</t>
  </si>
  <si>
    <t>CUARTOS PREMIOS</t>
  </si>
  <si>
    <t>QUINTOS PREMIOS</t>
  </si>
  <si>
    <t>sin impuestos</t>
  </si>
  <si>
    <t>Total</t>
  </si>
  <si>
    <t>impuestos</t>
  </si>
  <si>
    <t>Cesta BAR ARCADE</t>
  </si>
  <si>
    <t>Belén</t>
  </si>
  <si>
    <t>PACO</t>
  </si>
  <si>
    <t>No</t>
  </si>
  <si>
    <t>Jugado</t>
  </si>
  <si>
    <t>Observaciones</t>
  </si>
  <si>
    <t>NANDI</t>
  </si>
  <si>
    <t>Pincha sobre la celda
de la PEDREA del número cantado</t>
  </si>
  <si>
    <t>05490</t>
  </si>
  <si>
    <t>04074</t>
  </si>
  <si>
    <t>2º PREMIO</t>
  </si>
  <si>
    <t>EL TROPEZON</t>
  </si>
  <si>
    <t>AL LIO</t>
  </si>
  <si>
    <t>ABUELO</t>
  </si>
  <si>
    <t>ABUELO - SAN FRANCISCO</t>
  </si>
  <si>
    <t>TERESA Y JAVIER TELEFONICA</t>
  </si>
  <si>
    <t>TERESA TELEFONICA</t>
  </si>
  <si>
    <t>NO</t>
  </si>
  <si>
    <t>Parroquia</t>
  </si>
  <si>
    <t>repartida hijos /5e x 3)</t>
  </si>
  <si>
    <t>JOSE</t>
  </si>
  <si>
    <t>PREMIO X€ SIN IMPUESTOS</t>
  </si>
  <si>
    <t>SANDRITA</t>
  </si>
  <si>
    <t>INMA</t>
  </si>
  <si>
    <t>NEO (5€ a hijos y hermanos)</t>
  </si>
  <si>
    <t>BELEN</t>
  </si>
  <si>
    <t>papis</t>
  </si>
  <si>
    <t>peña madridista (LUIS-LORENA)</t>
  </si>
  <si>
    <t xml:space="preserve">paco </t>
  </si>
  <si>
    <t>evelio</t>
  </si>
  <si>
    <t>LORENA</t>
  </si>
  <si>
    <t>TULOTERO- LAQUINTA</t>
  </si>
  <si>
    <t>GELO</t>
  </si>
  <si>
    <t>OHLA-FRAN</t>
  </si>
  <si>
    <t>GASTADO</t>
  </si>
  <si>
    <t>Cantidad
JUGADA</t>
  </si>
  <si>
    <t>DADO</t>
  </si>
  <si>
    <t>RECIBIDO</t>
  </si>
  <si>
    <t>OSCAR</t>
  </si>
  <si>
    <t>DANI</t>
  </si>
  <si>
    <t>Total (antes de impuestos)</t>
  </si>
  <si>
    <t>SI</t>
  </si>
  <si>
    <t xml:space="preserve">NEO </t>
  </si>
  <si>
    <t>SAN FRANCISCO TRAID</t>
  </si>
  <si>
    <t>TELEFONICA SANTA ENGRACIA</t>
  </si>
  <si>
    <t>TELEFONICA</t>
  </si>
  <si>
    <t>TELEFONICA D.EMPRESAS</t>
  </si>
  <si>
    <t>VALLADOLID</t>
  </si>
  <si>
    <t>UGT</t>
  </si>
  <si>
    <t>AGENCIA INMOBILIARIA</t>
  </si>
  <si>
    <t>TRAID</t>
  </si>
  <si>
    <t>EVELIO</t>
  </si>
  <si>
    <t>OLIVIA , TERE y lupe</t>
  </si>
  <si>
    <t>SANDRA</t>
  </si>
  <si>
    <t>DANI FAMILIAR (4€ X 5 PERSONAS)</t>
  </si>
  <si>
    <t>WEB - COMPARTIDO</t>
  </si>
  <si>
    <t xml:space="preserve">WEB - </t>
  </si>
  <si>
    <t>ugt</t>
  </si>
  <si>
    <t>telefonica</t>
  </si>
  <si>
    <t>polideportivo</t>
  </si>
  <si>
    <t>web santa engracia</t>
  </si>
  <si>
    <t>Asoc. Cultural.san francisco</t>
  </si>
  <si>
    <t>inma</t>
  </si>
  <si>
    <t>jose</t>
  </si>
  <si>
    <t>iquivia sandra</t>
  </si>
  <si>
    <t>dani (compartido familia 5€)</t>
  </si>
  <si>
    <t>Sandra compartido familia 5€</t>
  </si>
  <si>
    <t>belen</t>
  </si>
  <si>
    <t>Lorena (compartido Lorena)</t>
  </si>
  <si>
    <t>Lorena y Luis</t>
  </si>
  <si>
    <t>ohl</t>
  </si>
  <si>
    <t>morella</t>
  </si>
  <si>
    <t>Iglesia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</si>
</sst>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[$€-C0A]_-;\-* #,##0.00\ [$€-C0A]_-;_-* &quot;-&quot;??\ [$€-C0A]_-;_-@_-"/>
  </numFmts>
  <fonts count="16">
    <font>
      <sz val="11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5"/>
      <color rgb="FF000000"/>
      <name val="Inherit"/>
    </font>
    <font>
      <b/>
      <sz val="11"/>
      <color theme="1"/>
      <name val="Inherit"/>
    </font>
    <font>
      <sz val="11"/>
      <color theme="1"/>
      <name val="Inherit"/>
    </font>
    <font>
      <b/>
      <sz val="11"/>
      <color rgb="FFFF0000"/>
      <name val="Inherit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Aparajita"/>
      <family val="1"/>
    </font>
    <font>
      <sz val="12"/>
      <color theme="7" tint="0.79998168889431442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medium">
        <color rgb="FF555555"/>
      </left>
      <right style="medium">
        <color rgb="FF555555"/>
      </right>
      <top style="medium">
        <color rgb="FF555555"/>
      </top>
      <bottom style="medium">
        <color rgb="FF5555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medium">
        <color rgb="FF555555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5" borderId="1" xfId="0" applyFill="1" applyBorder="1" applyAlignment="1">
      <alignment horizontal="center" vertic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6" fillId="0" borderId="2" xfId="0" applyFont="1" applyBorder="1" applyAlignment="1">
      <alignment horizontal="center" vertical="center" wrapText="1"/>
    </xf>
    <xf numFmtId="6" fontId="6" fillId="0" borderId="2" xfId="0" applyNumberFormat="1" applyFont="1" applyBorder="1" applyAlignment="1">
      <alignment horizontal="center" vertical="center" wrapText="1"/>
    </xf>
    <xf numFmtId="3" fontId="6" fillId="0" borderId="2" xfId="0" applyNumberFormat="1" applyFont="1" applyBorder="1" applyAlignment="1">
      <alignment horizontal="center" vertical="center" wrapText="1"/>
    </xf>
    <xf numFmtId="0" fontId="5" fillId="6" borderId="2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center" vertical="center" wrapText="1"/>
    </xf>
    <xf numFmtId="6" fontId="6" fillId="6" borderId="2" xfId="0" applyNumberFormat="1" applyFont="1" applyFill="1" applyBorder="1" applyAlignment="1">
      <alignment horizontal="center" vertical="center" wrapText="1"/>
    </xf>
    <xf numFmtId="0" fontId="5" fillId="8" borderId="2" xfId="0" applyFont="1" applyFill="1" applyBorder="1" applyAlignment="1">
      <alignment horizontal="left" vertical="center" wrapText="1"/>
    </xf>
    <xf numFmtId="0" fontId="6" fillId="8" borderId="2" xfId="0" applyFont="1" applyFill="1" applyBorder="1" applyAlignment="1">
      <alignment horizontal="center" vertical="center" wrapText="1"/>
    </xf>
    <xf numFmtId="6" fontId="6" fillId="8" borderId="2" xfId="0" applyNumberFormat="1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left" vertical="center" wrapText="1"/>
    </xf>
    <xf numFmtId="3" fontId="6" fillId="9" borderId="2" xfId="0" applyNumberFormat="1" applyFont="1" applyFill="1" applyBorder="1" applyAlignment="1">
      <alignment horizontal="center" vertical="center" wrapText="1"/>
    </xf>
    <xf numFmtId="6" fontId="6" fillId="9" borderId="2" xfId="0" applyNumberFormat="1" applyFont="1" applyFill="1" applyBorder="1" applyAlignment="1">
      <alignment horizontal="center" vertical="center" wrapText="1"/>
    </xf>
    <xf numFmtId="8" fontId="6" fillId="8" borderId="2" xfId="0" applyNumberFormat="1" applyFont="1" applyFill="1" applyBorder="1" applyAlignment="1">
      <alignment horizontal="center" vertical="center" wrapText="1"/>
    </xf>
    <xf numFmtId="0" fontId="5" fillId="10" borderId="2" xfId="0" applyFont="1" applyFill="1" applyBorder="1" applyAlignment="1">
      <alignment horizontal="left" vertical="center" wrapText="1"/>
    </xf>
    <xf numFmtId="0" fontId="6" fillId="10" borderId="2" xfId="0" applyFont="1" applyFill="1" applyBorder="1" applyAlignment="1">
      <alignment horizontal="center" vertical="center" wrapText="1"/>
    </xf>
    <xf numFmtId="6" fontId="6" fillId="10" borderId="2" xfId="0" applyNumberFormat="1" applyFont="1" applyFill="1" applyBorder="1" applyAlignment="1">
      <alignment horizontal="center" vertical="center" wrapText="1"/>
    </xf>
    <xf numFmtId="16" fontId="0" fillId="7" borderId="0" xfId="0" applyNumberFormat="1" applyFill="1" applyAlignment="1">
      <alignment horizontal="center" vertical="center"/>
    </xf>
    <xf numFmtId="0" fontId="12" fillId="11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5" fillId="12" borderId="2" xfId="0" applyFont="1" applyFill="1" applyBorder="1" applyAlignment="1">
      <alignment horizontal="left" vertical="center" wrapText="1"/>
    </xf>
    <xf numFmtId="0" fontId="6" fillId="12" borderId="2" xfId="0" applyFont="1" applyFill="1" applyBorder="1" applyAlignment="1">
      <alignment horizontal="center" vertical="center" wrapText="1"/>
    </xf>
    <xf numFmtId="6" fontId="6" fillId="12" borderId="2" xfId="0" applyNumberFormat="1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10" fillId="11" borderId="5" xfId="0" applyFont="1" applyFill="1" applyBorder="1" applyAlignment="1">
      <alignment horizontal="center" vertical="center"/>
    </xf>
    <xf numFmtId="0" fontId="10" fillId="11" borderId="7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15" fillId="14" borderId="3" xfId="0" applyFont="1" applyFill="1" applyBorder="1" applyAlignment="1">
      <alignment horizontal="center" vertical="center"/>
    </xf>
    <xf numFmtId="0" fontId="14" fillId="15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0" fillId="15" borderId="3" xfId="0" applyFill="1" applyBorder="1"/>
    <xf numFmtId="44" fontId="11" fillId="15" borderId="3" xfId="1" applyFont="1" applyFill="1" applyBorder="1" applyAlignment="1">
      <alignment horizontal="center" vertical="center"/>
    </xf>
    <xf numFmtId="164" fontId="0" fillId="0" borderId="0" xfId="0" applyNumberFormat="1"/>
    <xf numFmtId="164" fontId="9" fillId="15" borderId="3" xfId="0" applyNumberFormat="1" applyFont="1" applyFill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0" fillId="11" borderId="0" xfId="0" applyNumberFormat="1" applyFont="1" applyFill="1" applyAlignment="1">
      <alignment horizontal="center"/>
    </xf>
    <xf numFmtId="0" fontId="9" fillId="16" borderId="0" xfId="0" applyFont="1" applyFill="1" applyAlignment="1">
      <alignment horizontal="center" vertical="center"/>
    </xf>
    <xf numFmtId="49" fontId="3" fillId="0" borderId="3" xfId="0" quotePrefix="1" applyNumberFormat="1" applyFont="1" applyBorder="1" applyAlignment="1">
      <alignment horizontal="center" vertical="center"/>
    </xf>
    <xf numFmtId="49" fontId="3" fillId="0" borderId="6" xfId="0" quotePrefix="1" applyNumberFormat="1" applyFont="1" applyBorder="1" applyAlignment="1">
      <alignment horizontal="center" vertical="center"/>
    </xf>
    <xf numFmtId="49" fontId="3" fillId="0" borderId="6" xfId="0" applyNumberFormat="1" applyFont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0" fillId="12" borderId="0" xfId="0" applyNumberFormat="1" applyFill="1" applyAlignment="1">
      <alignment horizontal="center" vertical="center"/>
    </xf>
    <xf numFmtId="49" fontId="0" fillId="7" borderId="0" xfId="0" applyNumberFormat="1" applyFill="1" applyAlignment="1">
      <alignment horizontal="center" vertical="center"/>
    </xf>
    <xf numFmtId="0" fontId="3" fillId="0" borderId="3" xfId="0" quotePrefix="1" applyFont="1" applyBorder="1" applyAlignment="1">
      <alignment horizontal="center" vertical="center"/>
    </xf>
    <xf numFmtId="6" fontId="0" fillId="0" borderId="0" xfId="0" applyNumberFormat="1" applyAlignment="1">
      <alignment horizontal="center"/>
    </xf>
    <xf numFmtId="0" fontId="3" fillId="0" borderId="6" xfId="0" quotePrefix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 wrapText="1"/>
    </xf>
    <xf numFmtId="6" fontId="0" fillId="5" borderId="0" xfId="0" applyNumberFormat="1" applyFill="1"/>
    <xf numFmtId="0" fontId="14" fillId="15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0" fontId="15" fillId="14" borderId="9" xfId="0" applyFont="1" applyFill="1" applyBorder="1" applyAlignment="1">
      <alignment horizontal="center" vertical="center"/>
    </xf>
    <xf numFmtId="0" fontId="0" fillId="0" borderId="3" xfId="0" applyBorder="1"/>
    <xf numFmtId="0" fontId="0" fillId="2" borderId="3" xfId="0" applyFill="1" applyBorder="1" applyAlignment="1">
      <alignment horizontal="center" vertical="center"/>
    </xf>
    <xf numFmtId="164" fontId="10" fillId="11" borderId="0" xfId="0" applyNumberFormat="1" applyFont="1" applyFill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17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0" fillId="7" borderId="3" xfId="0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/>
    </xf>
    <xf numFmtId="0" fontId="0" fillId="0" borderId="0" xfId="0" applyFill="1"/>
    <xf numFmtId="0" fontId="0" fillId="0" borderId="3" xfId="0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DC43D-9771-4A88-94C2-BC415B0B2A6B}">
  <sheetPr codeName="Hoja7">
    <tabColor theme="9" tint="-0.249977111117893"/>
  </sheetPr>
  <dimension ref="A1:AN44"/>
  <sheetViews>
    <sheetView showGridLines="0" tabSelected="1" zoomScale="115" zoomScaleNormal="115" workbookViewId="0">
      <pane ySplit="5" topLeftCell="A6" activePane="bottomLeft" state="frozen"/>
      <selection pane="bottomLeft" activeCell="X5" sqref="X5"/>
    </sheetView>
  </sheetViews>
  <sheetFormatPr baseColWidth="10" defaultRowHeight="14.4"/>
  <cols>
    <col min="1" max="1" width="0.6640625" customWidth="1"/>
    <col min="2" max="2" width="8.5546875" style="2" customWidth="1"/>
    <col min="3" max="3" width="12.77734375" style="2" customWidth="1"/>
    <col min="4" max="4" width="25.21875" customWidth="1"/>
    <col min="5" max="5" width="14.88671875" style="2" customWidth="1"/>
    <col min="6" max="6" width="7.21875" hidden="1" customWidth="1"/>
    <col min="7" max="7" width="16.5546875" hidden="1" customWidth="1"/>
    <col min="8" max="8" width="8.77734375" hidden="1" customWidth="1"/>
    <col min="9" max="9" width="7.5546875" hidden="1" customWidth="1"/>
    <col min="10" max="11" width="9.33203125" hidden="1" customWidth="1"/>
    <col min="12" max="13" width="8.77734375" hidden="1" customWidth="1"/>
    <col min="14" max="14" width="15.77734375" hidden="1" customWidth="1"/>
    <col min="15" max="15" width="14.21875" hidden="1" customWidth="1"/>
    <col min="16" max="16" width="11.44140625" hidden="1" customWidth="1"/>
    <col min="17" max="17" width="5.33203125" hidden="1" customWidth="1"/>
    <col min="18" max="18" width="18.21875" style="56" customWidth="1"/>
    <col min="19" max="19" width="11.44140625" hidden="1" customWidth="1"/>
    <col min="20" max="20" width="11.88671875" hidden="1" customWidth="1"/>
    <col min="21" max="21" width="19.44140625" style="2" customWidth="1"/>
    <col min="22" max="22" width="20.21875" customWidth="1"/>
    <col min="23" max="23" width="2.21875" customWidth="1"/>
    <col min="32" max="34" width="0" hidden="1" customWidth="1"/>
    <col min="35" max="35" width="15.5546875" hidden="1" customWidth="1"/>
    <col min="36" max="37" width="0" hidden="1" customWidth="1"/>
    <col min="38" max="38" width="16" hidden="1" customWidth="1"/>
    <col min="39" max="39" width="0" hidden="1" customWidth="1"/>
    <col min="40" max="40" width="22.77734375" hidden="1" customWidth="1"/>
  </cols>
  <sheetData>
    <row r="1" spans="1:40" s="2" customFormat="1" ht="25.8">
      <c r="C1" s="49" t="s">
        <v>67</v>
      </c>
      <c r="D1" s="48" t="s">
        <v>96</v>
      </c>
      <c r="E1" s="48" t="s">
        <v>80</v>
      </c>
      <c r="R1" s="85"/>
      <c r="S1" s="85"/>
      <c r="T1" s="44"/>
      <c r="U1" s="86" t="s">
        <v>81</v>
      </c>
      <c r="V1" s="86"/>
      <c r="X1" s="86" t="s">
        <v>82</v>
      </c>
      <c r="Y1" s="86"/>
      <c r="Z1" s="86"/>
      <c r="AA1" s="86"/>
      <c r="AB1" s="86"/>
      <c r="AC1" s="86"/>
      <c r="AD1" s="86"/>
      <c r="AE1" s="86"/>
    </row>
    <row r="2" spans="1:40" s="43" customFormat="1" ht="28.5" customHeight="1" thickBot="1">
      <c r="C2" s="68">
        <v>79432</v>
      </c>
      <c r="D2" s="70">
        <v>70048</v>
      </c>
      <c r="E2" s="71">
        <v>90693</v>
      </c>
      <c r="R2" s="85"/>
      <c r="S2" s="85"/>
      <c r="T2" s="44"/>
      <c r="U2" s="72">
        <v>78477</v>
      </c>
      <c r="V2" s="72">
        <v>25508</v>
      </c>
      <c r="W2" s="65"/>
      <c r="X2" s="72">
        <v>23112</v>
      </c>
      <c r="Y2" s="72">
        <v>60649</v>
      </c>
      <c r="Z2" s="72">
        <v>77715</v>
      </c>
      <c r="AA2" s="72">
        <v>25412</v>
      </c>
      <c r="AB2" s="72">
        <v>61366</v>
      </c>
      <c r="AC2" s="72">
        <v>41716</v>
      </c>
      <c r="AD2" s="72">
        <v>18669</v>
      </c>
      <c r="AE2" s="72"/>
    </row>
    <row r="3" spans="1:40" ht="36.6" customHeight="1" thickBot="1">
      <c r="E3" s="53" t="s">
        <v>90</v>
      </c>
      <c r="U3" s="75" t="s">
        <v>126</v>
      </c>
      <c r="V3" s="52"/>
      <c r="AI3" s="33" t="s">
        <v>68</v>
      </c>
      <c r="AJ3" s="14" t="s">
        <v>40</v>
      </c>
      <c r="AK3" s="14" t="s">
        <v>56</v>
      </c>
      <c r="AL3" s="14" t="s">
        <v>41</v>
      </c>
      <c r="AM3" s="14" t="s">
        <v>42</v>
      </c>
      <c r="AN3" s="73" t="s">
        <v>107</v>
      </c>
    </row>
    <row r="4" spans="1:40" ht="46.5" customHeight="1" thickBot="1">
      <c r="A4" s="51"/>
      <c r="B4" s="87" t="s">
        <v>93</v>
      </c>
      <c r="C4" s="88"/>
      <c r="D4" s="50" t="s">
        <v>91</v>
      </c>
      <c r="E4" s="51">
        <f>SUM(E6:E44)</f>
        <v>366.8</v>
      </c>
      <c r="G4" s="12" t="s">
        <v>67</v>
      </c>
      <c r="H4" s="12" t="s">
        <v>69</v>
      </c>
      <c r="I4" s="12" t="s">
        <v>70</v>
      </c>
      <c r="J4" s="32" t="s">
        <v>71</v>
      </c>
      <c r="K4" s="12" t="s">
        <v>72</v>
      </c>
      <c r="L4" s="12" t="s">
        <v>73</v>
      </c>
      <c r="M4" s="12" t="s">
        <v>55</v>
      </c>
      <c r="N4" s="12" t="s">
        <v>75</v>
      </c>
      <c r="O4" s="39" t="s">
        <v>76</v>
      </c>
      <c r="P4" s="39" t="s">
        <v>77</v>
      </c>
      <c r="Q4" s="12" t="s">
        <v>78</v>
      </c>
      <c r="R4" s="57" t="s">
        <v>79</v>
      </c>
      <c r="S4" s="54"/>
      <c r="T4" s="54"/>
      <c r="U4" s="55">
        <f>SUM(R6:R44)</f>
        <v>108</v>
      </c>
      <c r="V4" s="55"/>
      <c r="X4" s="78">
        <f>SUM(X6:X44)</f>
        <v>274</v>
      </c>
      <c r="Y4" s="78">
        <f>SUM(Y6:Y44)</f>
        <v>46</v>
      </c>
      <c r="Z4" s="78">
        <f>SUM(Z6:Z44)</f>
        <v>56</v>
      </c>
      <c r="AA4" s="78">
        <f>X4-Y4+Z4</f>
        <v>284</v>
      </c>
      <c r="AI4" s="2">
        <f>IF(C2="",0,C2)</f>
        <v>79432</v>
      </c>
      <c r="AJ4" s="15" t="s">
        <v>43</v>
      </c>
      <c r="AK4" s="16">
        <v>1</v>
      </c>
      <c r="AL4" s="17">
        <v>4000000</v>
      </c>
      <c r="AM4" s="17">
        <v>20000</v>
      </c>
      <c r="AN4" s="74">
        <f>(40000+(AL4/10-40000)-(AL4/10-40000)*20%)/20</f>
        <v>16400</v>
      </c>
    </row>
    <row r="5" spans="1:40" ht="29.4" thickBot="1">
      <c r="B5" s="60" t="s">
        <v>55</v>
      </c>
      <c r="C5" s="3" t="s">
        <v>0</v>
      </c>
      <c r="D5" s="3" t="s">
        <v>1</v>
      </c>
      <c r="E5" s="77" t="s">
        <v>121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58"/>
      <c r="S5" t="s">
        <v>85</v>
      </c>
      <c r="U5" s="4" t="s">
        <v>16</v>
      </c>
      <c r="V5" s="4" t="s">
        <v>11</v>
      </c>
      <c r="W5" s="41"/>
      <c r="X5" s="80" t="s">
        <v>120</v>
      </c>
      <c r="Y5" s="80" t="s">
        <v>122</v>
      </c>
      <c r="Z5" s="80" t="s">
        <v>123</v>
      </c>
      <c r="AI5" s="2">
        <f>IF(D2="",0,D2)</f>
        <v>70048</v>
      </c>
      <c r="AJ5" s="15" t="s">
        <v>44</v>
      </c>
      <c r="AK5" s="16">
        <v>1</v>
      </c>
      <c r="AL5" s="17">
        <v>1250000</v>
      </c>
      <c r="AM5" s="17">
        <v>6250</v>
      </c>
      <c r="AN5" s="74">
        <f t="shared" ref="AN5:AN6" si="0">(40000+(AL5/10-40000)-(AL5/10-40000)*20%)/20</f>
        <v>5400</v>
      </c>
    </row>
    <row r="6" spans="1:40" ht="28.05" customHeight="1" thickBot="1">
      <c r="B6" s="40" t="s">
        <v>89</v>
      </c>
      <c r="C6" s="47">
        <v>18458</v>
      </c>
      <c r="D6" s="76" t="s">
        <v>128</v>
      </c>
      <c r="E6" s="8">
        <v>20</v>
      </c>
      <c r="F6" s="1" t="str">
        <f t="shared" ref="F6:F44" si="1">RIGHT(TEXT(C6,0),1)</f>
        <v>8</v>
      </c>
      <c r="G6" s="69">
        <f>IF(C6=$AI$4,$AM$4*E6,0)</f>
        <v>0</v>
      </c>
      <c r="H6" s="69">
        <f>IF(C6=$AI$5,$AM$5*E6,0)</f>
        <v>0</v>
      </c>
      <c r="I6" s="1">
        <f>IF(C6=$AI$6,$AM$6*E6,0)</f>
        <v>0</v>
      </c>
      <c r="J6" s="1">
        <f>IF(C6=$AI$7,$AM$7*E6,0)</f>
        <v>0</v>
      </c>
      <c r="K6" s="1">
        <f>IF(C6=$AI$8,$AM$8*E6,0)</f>
        <v>0</v>
      </c>
      <c r="L6" s="1">
        <f>IF(COUNTIF($AI$9:$AI$16,C6),E6*$AM$9,0)</f>
        <v>0</v>
      </c>
      <c r="M6" s="1">
        <f>IF(B6="SI",E6*$AM$17,0)</f>
        <v>0</v>
      </c>
      <c r="N6" s="1">
        <f>IFERROR(INDEX($AI$18:$AM$23,MATCH(C6,$AI$18:$AI$23,0),5)*E6,0)</f>
        <v>0</v>
      </c>
      <c r="O6" s="1">
        <f>IF(C6&lt;&gt;$C$2,IFERROR(INDEX($AI$24:$AM$28,MATCH(LEFT(C6,3),$AI$24:$AI$28,0),5)*E6,0),0)</f>
        <v>0</v>
      </c>
      <c r="P6" s="1">
        <f>IF(C6&lt;&gt;$C$2,IF(C6&lt;&gt;$D$2,IFERROR(INDEX($AI$29:$AM$31,MATCH(RIGHT(C6,2),$AI$29:$AI$31,0),5)*E6,0)))</f>
        <v>0</v>
      </c>
      <c r="Q6" s="1">
        <f>IF(C6&lt;&gt;$C$2,IFERROR(INDEX($AI$32:$AM$32,MATCH(RIGHT(C6,1),$AI$32:$AI$32,0),5)*E6,0),0)</f>
        <v>0</v>
      </c>
      <c r="R6" s="81">
        <f>SUM(G6:Q6)</f>
        <v>0</v>
      </c>
      <c r="S6">
        <f>IF(R6&gt;40000,((R6-40000)*20%),0)</f>
        <v>0</v>
      </c>
      <c r="T6">
        <f>R6-S6</f>
        <v>0</v>
      </c>
      <c r="U6" s="45">
        <v>0</v>
      </c>
      <c r="V6" s="46">
        <f t="shared" ref="V6:V15" si="2">SUMIF($F$6:$F$44,U6,$E$6:$E$45)</f>
        <v>35</v>
      </c>
      <c r="W6" s="42"/>
      <c r="X6" s="79">
        <v>20</v>
      </c>
      <c r="Y6" s="79">
        <v>0</v>
      </c>
      <c r="Z6" s="79">
        <v>0</v>
      </c>
      <c r="AI6" s="2">
        <f>IF(E2="",0,E2)</f>
        <v>90693</v>
      </c>
      <c r="AJ6" s="15" t="s">
        <v>45</v>
      </c>
      <c r="AK6" s="16">
        <v>1</v>
      </c>
      <c r="AL6" s="17">
        <v>500000</v>
      </c>
      <c r="AM6" s="17">
        <v>2500</v>
      </c>
      <c r="AN6" s="74">
        <f t="shared" si="0"/>
        <v>2400</v>
      </c>
    </row>
    <row r="7" spans="1:40" ht="28.05" customHeight="1" thickBot="1">
      <c r="B7" s="40" t="s">
        <v>103</v>
      </c>
      <c r="C7" s="84">
        <v>35917</v>
      </c>
      <c r="D7" s="76" t="s">
        <v>141</v>
      </c>
      <c r="E7" s="8">
        <v>60</v>
      </c>
      <c r="F7" s="1" t="str">
        <f t="shared" si="1"/>
        <v>7</v>
      </c>
      <c r="G7" s="69">
        <f t="shared" ref="G7:G44" si="3">IF(C7=$AI$4,$AM$4*E7,0)</f>
        <v>0</v>
      </c>
      <c r="H7" s="69">
        <f t="shared" ref="H7:H44" si="4">IF(C7=$AI$5,$AM$5*E7,0)</f>
        <v>0</v>
      </c>
      <c r="I7" s="1">
        <f t="shared" ref="I7:I44" si="5">IF(C7=$AI$6,$AM$6*E7,0)</f>
        <v>0</v>
      </c>
      <c r="J7" s="1">
        <f t="shared" ref="J7:J44" si="6">IF(C7=$AI$7,$AM$7*E7,0)</f>
        <v>0</v>
      </c>
      <c r="K7" s="1">
        <f t="shared" ref="K7:K44" si="7">IF(C7=$AI$8,$AM$8*E7,0)</f>
        <v>0</v>
      </c>
      <c r="L7" s="1">
        <f t="shared" ref="L7:L44" si="8">IF(COUNTIF($AI$9:$AI$16,C7),E7*$AM$9,0)</f>
        <v>0</v>
      </c>
      <c r="M7" s="1">
        <f t="shared" ref="M7:M44" si="9">IF(B7="SI",E7*$AM$17,0)</f>
        <v>0</v>
      </c>
      <c r="N7" s="1">
        <f t="shared" ref="N7:N44" si="10">IFERROR(INDEX($AI$18:$AM$23,MATCH(C7,$AI$18:$AI$23,0),5)*E7,0)</f>
        <v>0</v>
      </c>
      <c r="O7" s="1">
        <f t="shared" ref="O7:O44" si="11">IF(C7&lt;&gt;$C$2,IFERROR(INDEX($AI$24:$AM$28,MATCH(LEFT(C7,3),$AI$24:$AI$28,0),5)*E7,0),0)</f>
        <v>0</v>
      </c>
      <c r="P7" s="1">
        <f t="shared" ref="P7:P44" si="12">IF(C7&lt;&gt;$C$2,IF(C7&lt;&gt;$D$2,IFERROR(INDEX($AI$29:$AM$31,MATCH(RIGHT(C7,2),$AI$29:$AI$31,0),5)*E7,0)))</f>
        <v>0</v>
      </c>
      <c r="Q7" s="1">
        <f t="shared" ref="Q7:Q44" si="13">IF(C7&lt;&gt;$C$2,IFERROR(INDEX($AI$32:$AM$32,MATCH(RIGHT(C7,1),$AI$32:$AI$32,0),5)*E7,0),0)</f>
        <v>0</v>
      </c>
      <c r="R7" s="81">
        <f t="shared" ref="R7:R44" si="14">SUM(G7:Q7)</f>
        <v>0</v>
      </c>
      <c r="S7">
        <f>IF(R7&gt;40000,((R7-40000)*20%),0)</f>
        <v>0</v>
      </c>
      <c r="T7">
        <f>R7-S7</f>
        <v>0</v>
      </c>
      <c r="U7" s="45">
        <v>1</v>
      </c>
      <c r="V7" s="46">
        <f t="shared" si="2"/>
        <v>11</v>
      </c>
      <c r="W7" s="42"/>
      <c r="X7" s="79">
        <v>60</v>
      </c>
      <c r="Y7" s="79">
        <f>15+15+16</f>
        <v>46</v>
      </c>
      <c r="Z7" s="79">
        <v>0</v>
      </c>
      <c r="AI7" s="66">
        <f>U2</f>
        <v>78477</v>
      </c>
      <c r="AJ7" s="35" t="s">
        <v>46</v>
      </c>
      <c r="AK7" s="36">
        <v>1</v>
      </c>
      <c r="AL7" s="37">
        <v>200000</v>
      </c>
      <c r="AM7" s="37">
        <v>1000</v>
      </c>
      <c r="AN7" s="74">
        <v>1000</v>
      </c>
    </row>
    <row r="8" spans="1:40" ht="28.05" customHeight="1" thickBot="1">
      <c r="B8" s="40" t="s">
        <v>103</v>
      </c>
      <c r="C8" s="47">
        <v>45694</v>
      </c>
      <c r="D8" s="76" t="s">
        <v>142</v>
      </c>
      <c r="E8" s="8">
        <v>20</v>
      </c>
      <c r="F8" s="1" t="str">
        <f t="shared" si="1"/>
        <v>4</v>
      </c>
      <c r="G8" s="69">
        <f t="shared" si="3"/>
        <v>0</v>
      </c>
      <c r="H8" s="69">
        <f t="shared" si="4"/>
        <v>0</v>
      </c>
      <c r="I8" s="1">
        <f t="shared" si="5"/>
        <v>0</v>
      </c>
      <c r="J8" s="1">
        <f t="shared" si="6"/>
        <v>0</v>
      </c>
      <c r="K8" s="1">
        <f t="shared" si="7"/>
        <v>0</v>
      </c>
      <c r="L8" s="1">
        <f t="shared" si="8"/>
        <v>0</v>
      </c>
      <c r="M8" s="1">
        <f t="shared" si="9"/>
        <v>0</v>
      </c>
      <c r="N8" s="1">
        <f t="shared" si="10"/>
        <v>0</v>
      </c>
      <c r="O8" s="1">
        <f t="shared" si="11"/>
        <v>0</v>
      </c>
      <c r="P8" s="1">
        <f t="shared" si="12"/>
        <v>0</v>
      </c>
      <c r="Q8" s="1">
        <f t="shared" si="13"/>
        <v>0</v>
      </c>
      <c r="R8" s="81">
        <f t="shared" si="14"/>
        <v>0</v>
      </c>
      <c r="S8">
        <f t="shared" ref="S8:S44" si="15">IF(R8&gt;40000,((R8-40000)*20%),0)</f>
        <v>0</v>
      </c>
      <c r="T8">
        <f t="shared" ref="T8:T44" si="16">R8-S8</f>
        <v>0</v>
      </c>
      <c r="U8" s="45">
        <v>2</v>
      </c>
      <c r="V8" s="46">
        <f t="shared" si="2"/>
        <v>38</v>
      </c>
      <c r="W8" s="42"/>
      <c r="X8" s="79">
        <v>20</v>
      </c>
      <c r="Y8" s="79">
        <v>0</v>
      </c>
      <c r="Z8" s="79">
        <v>0</v>
      </c>
      <c r="AI8" s="66">
        <f>V2</f>
        <v>25508</v>
      </c>
      <c r="AJ8" s="35" t="s">
        <v>46</v>
      </c>
      <c r="AK8" s="36">
        <v>2</v>
      </c>
      <c r="AL8" s="37">
        <v>200000</v>
      </c>
      <c r="AM8" s="37">
        <v>1000</v>
      </c>
      <c r="AN8" s="74">
        <f t="shared" ref="AN8:AN32" si="17">AM8</f>
        <v>1000</v>
      </c>
    </row>
    <row r="9" spans="1:40" ht="28.05" customHeight="1" thickBot="1">
      <c r="B9" s="40" t="s">
        <v>103</v>
      </c>
      <c r="C9" s="47">
        <v>55917</v>
      </c>
      <c r="D9" s="76" t="s">
        <v>97</v>
      </c>
      <c r="E9" s="8">
        <v>20</v>
      </c>
      <c r="F9" s="1" t="str">
        <f t="shared" si="1"/>
        <v>7</v>
      </c>
      <c r="G9" s="69">
        <f t="shared" si="3"/>
        <v>0</v>
      </c>
      <c r="H9" s="69">
        <f t="shared" si="4"/>
        <v>0</v>
      </c>
      <c r="I9" s="1">
        <f t="shared" si="5"/>
        <v>0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N9" s="1">
        <f t="shared" si="10"/>
        <v>0</v>
      </c>
      <c r="O9" s="1">
        <f t="shared" si="11"/>
        <v>0</v>
      </c>
      <c r="P9" s="1">
        <f t="shared" si="12"/>
        <v>0</v>
      </c>
      <c r="Q9" s="1">
        <f t="shared" si="13"/>
        <v>0</v>
      </c>
      <c r="R9" s="81">
        <f t="shared" si="14"/>
        <v>0</v>
      </c>
      <c r="S9">
        <f t="shared" si="15"/>
        <v>0</v>
      </c>
      <c r="T9">
        <f t="shared" si="16"/>
        <v>0</v>
      </c>
      <c r="U9" s="45">
        <v>3</v>
      </c>
      <c r="V9" s="46">
        <f t="shared" si="2"/>
        <v>40</v>
      </c>
      <c r="W9" s="42"/>
      <c r="X9" s="79">
        <v>20</v>
      </c>
      <c r="Y9" s="79">
        <v>0</v>
      </c>
      <c r="Z9" s="79">
        <v>0</v>
      </c>
      <c r="AI9" s="67">
        <f>X2</f>
        <v>23112</v>
      </c>
      <c r="AJ9" s="22" t="s">
        <v>47</v>
      </c>
      <c r="AK9" s="23">
        <v>1</v>
      </c>
      <c r="AL9" s="24">
        <v>60000</v>
      </c>
      <c r="AM9" s="24">
        <v>300</v>
      </c>
      <c r="AN9" s="74">
        <f t="shared" si="17"/>
        <v>300</v>
      </c>
    </row>
    <row r="10" spans="1:40" ht="28.05" customHeight="1" thickBot="1">
      <c r="B10" s="40" t="s">
        <v>103</v>
      </c>
      <c r="C10" s="47">
        <v>41841</v>
      </c>
      <c r="D10" s="76" t="s">
        <v>143</v>
      </c>
      <c r="E10" s="8">
        <v>2</v>
      </c>
      <c r="F10" s="1" t="str">
        <f t="shared" si="1"/>
        <v>1</v>
      </c>
      <c r="G10" s="69">
        <f t="shared" si="3"/>
        <v>0</v>
      </c>
      <c r="H10" s="69">
        <f t="shared" si="4"/>
        <v>0</v>
      </c>
      <c r="I10" s="1">
        <f t="shared" si="5"/>
        <v>0</v>
      </c>
      <c r="J10" s="1">
        <f t="shared" si="6"/>
        <v>0</v>
      </c>
      <c r="K10" s="1">
        <f t="shared" si="7"/>
        <v>0</v>
      </c>
      <c r="L10" s="1">
        <f t="shared" si="8"/>
        <v>0</v>
      </c>
      <c r="M10" s="1">
        <f t="shared" si="9"/>
        <v>0</v>
      </c>
      <c r="N10" s="1">
        <f t="shared" si="10"/>
        <v>0</v>
      </c>
      <c r="O10" s="1">
        <f t="shared" si="11"/>
        <v>0</v>
      </c>
      <c r="P10" s="1">
        <f t="shared" si="12"/>
        <v>0</v>
      </c>
      <c r="Q10" s="1">
        <f t="shared" si="13"/>
        <v>0</v>
      </c>
      <c r="R10" s="81">
        <f t="shared" si="14"/>
        <v>0</v>
      </c>
      <c r="S10">
        <f t="shared" si="15"/>
        <v>0</v>
      </c>
      <c r="T10">
        <f t="shared" si="16"/>
        <v>0</v>
      </c>
      <c r="U10" s="45">
        <v>4</v>
      </c>
      <c r="V10" s="46">
        <f t="shared" si="2"/>
        <v>45</v>
      </c>
      <c r="W10" s="42"/>
      <c r="X10" s="79">
        <v>2</v>
      </c>
      <c r="Y10" s="79">
        <v>0</v>
      </c>
      <c r="Z10" s="79">
        <v>0</v>
      </c>
      <c r="AI10" s="67">
        <f>Y2</f>
        <v>60649</v>
      </c>
      <c r="AJ10" s="22" t="s">
        <v>47</v>
      </c>
      <c r="AK10" s="23">
        <v>2</v>
      </c>
      <c r="AL10" s="24">
        <v>60000</v>
      </c>
      <c r="AM10" s="24">
        <v>300</v>
      </c>
      <c r="AN10" s="74">
        <f t="shared" si="17"/>
        <v>300</v>
      </c>
    </row>
    <row r="11" spans="1:40" ht="28.05" customHeight="1" thickBot="1">
      <c r="B11" s="40" t="s">
        <v>103</v>
      </c>
      <c r="C11" s="47">
        <v>89956</v>
      </c>
      <c r="D11" s="76" t="s">
        <v>143</v>
      </c>
      <c r="E11" s="8">
        <v>2</v>
      </c>
      <c r="F11" s="1" t="str">
        <f t="shared" si="1"/>
        <v>6</v>
      </c>
      <c r="G11" s="69">
        <f t="shared" si="3"/>
        <v>0</v>
      </c>
      <c r="H11" s="69">
        <f t="shared" si="4"/>
        <v>0</v>
      </c>
      <c r="I11" s="1">
        <f t="shared" si="5"/>
        <v>0</v>
      </c>
      <c r="J11" s="1">
        <f t="shared" si="6"/>
        <v>0</v>
      </c>
      <c r="K11" s="1">
        <f t="shared" si="7"/>
        <v>0</v>
      </c>
      <c r="L11" s="1">
        <f>IF(COUNTIF($AI$9:$AI$16,C11),E11*$AM$9,0)</f>
        <v>0</v>
      </c>
      <c r="M11" s="1">
        <f t="shared" si="9"/>
        <v>0</v>
      </c>
      <c r="N11" s="1">
        <f t="shared" si="10"/>
        <v>0</v>
      </c>
      <c r="O11" s="1">
        <f t="shared" si="11"/>
        <v>0</v>
      </c>
      <c r="P11" s="1">
        <f t="shared" si="12"/>
        <v>0</v>
      </c>
      <c r="Q11" s="1">
        <f t="shared" si="13"/>
        <v>0</v>
      </c>
      <c r="R11" s="81">
        <f t="shared" si="14"/>
        <v>0</v>
      </c>
      <c r="S11">
        <f t="shared" si="15"/>
        <v>0</v>
      </c>
      <c r="T11">
        <f t="shared" si="16"/>
        <v>0</v>
      </c>
      <c r="U11" s="45">
        <v>5</v>
      </c>
      <c r="V11" s="46">
        <f t="shared" si="2"/>
        <v>5</v>
      </c>
      <c r="W11" s="42"/>
      <c r="X11" s="79">
        <v>2</v>
      </c>
      <c r="Y11" s="79">
        <v>0</v>
      </c>
      <c r="Z11" s="79">
        <v>0</v>
      </c>
      <c r="AI11" s="67">
        <f>Z2</f>
        <v>77715</v>
      </c>
      <c r="AJ11" s="22" t="s">
        <v>47</v>
      </c>
      <c r="AK11" s="23">
        <v>3</v>
      </c>
      <c r="AL11" s="24">
        <v>60000</v>
      </c>
      <c r="AM11" s="24">
        <v>300</v>
      </c>
      <c r="AN11" s="74">
        <f t="shared" si="17"/>
        <v>300</v>
      </c>
    </row>
    <row r="12" spans="1:40" ht="28.05" customHeight="1" thickBot="1">
      <c r="B12" s="40" t="s">
        <v>103</v>
      </c>
      <c r="C12" s="47">
        <v>80389</v>
      </c>
      <c r="D12" s="76" t="s">
        <v>144</v>
      </c>
      <c r="E12" s="8">
        <v>20</v>
      </c>
      <c r="F12" s="1" t="str">
        <f t="shared" si="1"/>
        <v>9</v>
      </c>
      <c r="G12" s="69">
        <f t="shared" si="3"/>
        <v>0</v>
      </c>
      <c r="H12" s="69">
        <f t="shared" si="4"/>
        <v>0</v>
      </c>
      <c r="I12" s="1">
        <f t="shared" si="5"/>
        <v>0</v>
      </c>
      <c r="J12" s="1">
        <f t="shared" si="6"/>
        <v>0</v>
      </c>
      <c r="K12" s="1">
        <f t="shared" si="7"/>
        <v>0</v>
      </c>
      <c r="L12" s="1">
        <f t="shared" si="8"/>
        <v>0</v>
      </c>
      <c r="M12" s="1">
        <f t="shared" si="9"/>
        <v>0</v>
      </c>
      <c r="N12" s="1">
        <f t="shared" si="10"/>
        <v>0</v>
      </c>
      <c r="O12" s="1">
        <f t="shared" si="11"/>
        <v>0</v>
      </c>
      <c r="P12" s="1">
        <f t="shared" si="12"/>
        <v>0</v>
      </c>
      <c r="Q12" s="1">
        <f t="shared" si="13"/>
        <v>0</v>
      </c>
      <c r="R12" s="81">
        <f t="shared" si="14"/>
        <v>0</v>
      </c>
      <c r="S12">
        <f t="shared" si="15"/>
        <v>0</v>
      </c>
      <c r="T12">
        <f t="shared" si="16"/>
        <v>0</v>
      </c>
      <c r="U12" s="45">
        <v>6</v>
      </c>
      <c r="V12" s="46">
        <f t="shared" si="2"/>
        <v>36</v>
      </c>
      <c r="W12" s="42"/>
      <c r="X12" s="79">
        <v>20</v>
      </c>
      <c r="Y12" s="79">
        <v>0</v>
      </c>
      <c r="Z12" s="79">
        <v>0</v>
      </c>
      <c r="AI12" s="67">
        <f>AA2</f>
        <v>25412</v>
      </c>
      <c r="AJ12" s="22" t="s">
        <v>47</v>
      </c>
      <c r="AK12" s="23">
        <v>4</v>
      </c>
      <c r="AL12" s="24">
        <v>60000</v>
      </c>
      <c r="AM12" s="24">
        <v>300</v>
      </c>
      <c r="AN12" s="74">
        <f t="shared" si="17"/>
        <v>300</v>
      </c>
    </row>
    <row r="13" spans="1:40" ht="28.05" customHeight="1" thickBot="1">
      <c r="B13" s="40" t="s">
        <v>103</v>
      </c>
      <c r="C13" s="47">
        <v>44356</v>
      </c>
      <c r="D13" s="76" t="s">
        <v>145</v>
      </c>
      <c r="E13" s="8">
        <v>20</v>
      </c>
      <c r="F13" s="1" t="str">
        <f t="shared" si="1"/>
        <v>6</v>
      </c>
      <c r="G13" s="69">
        <f t="shared" si="3"/>
        <v>0</v>
      </c>
      <c r="H13" s="69">
        <f t="shared" si="4"/>
        <v>0</v>
      </c>
      <c r="I13" s="1">
        <f t="shared" si="5"/>
        <v>0</v>
      </c>
      <c r="J13" s="1">
        <f t="shared" si="6"/>
        <v>0</v>
      </c>
      <c r="K13" s="1">
        <f t="shared" si="7"/>
        <v>0</v>
      </c>
      <c r="L13" s="1">
        <f t="shared" si="8"/>
        <v>0</v>
      </c>
      <c r="M13" s="1">
        <f t="shared" si="9"/>
        <v>0</v>
      </c>
      <c r="N13" s="1">
        <f t="shared" si="10"/>
        <v>0</v>
      </c>
      <c r="O13" s="1">
        <f t="shared" si="11"/>
        <v>0</v>
      </c>
      <c r="P13" s="1">
        <f t="shared" si="12"/>
        <v>0</v>
      </c>
      <c r="Q13" s="1">
        <f t="shared" si="13"/>
        <v>0</v>
      </c>
      <c r="R13" s="81">
        <f t="shared" si="14"/>
        <v>0</v>
      </c>
      <c r="S13">
        <f t="shared" si="15"/>
        <v>0</v>
      </c>
      <c r="T13">
        <f t="shared" si="16"/>
        <v>0</v>
      </c>
      <c r="U13" s="45">
        <v>7</v>
      </c>
      <c r="V13" s="46">
        <f t="shared" si="2"/>
        <v>95</v>
      </c>
      <c r="W13" s="42"/>
      <c r="X13" s="79">
        <v>20</v>
      </c>
      <c r="Y13" s="79">
        <v>0</v>
      </c>
      <c r="Z13" s="79">
        <v>0</v>
      </c>
      <c r="AI13" s="67">
        <f>AB2</f>
        <v>61366</v>
      </c>
      <c r="AJ13" s="22" t="s">
        <v>47</v>
      </c>
      <c r="AK13" s="23">
        <v>5</v>
      </c>
      <c r="AL13" s="24">
        <v>60000</v>
      </c>
      <c r="AM13" s="24">
        <v>300</v>
      </c>
      <c r="AN13" s="74">
        <f t="shared" si="17"/>
        <v>300</v>
      </c>
    </row>
    <row r="14" spans="1:40" ht="28.05" customHeight="1" thickBot="1">
      <c r="A14" s="89"/>
      <c r="B14" s="90" t="s">
        <v>103</v>
      </c>
      <c r="C14" s="47">
        <v>93240</v>
      </c>
      <c r="D14" s="76" t="s">
        <v>144</v>
      </c>
      <c r="E14" s="8">
        <v>20</v>
      </c>
      <c r="F14" s="1" t="str">
        <f t="shared" si="1"/>
        <v>0</v>
      </c>
      <c r="G14" s="69">
        <f t="shared" si="3"/>
        <v>0</v>
      </c>
      <c r="H14" s="69">
        <f t="shared" si="4"/>
        <v>0</v>
      </c>
      <c r="I14" s="1">
        <f t="shared" si="5"/>
        <v>0</v>
      </c>
      <c r="J14" s="1">
        <f t="shared" si="6"/>
        <v>0</v>
      </c>
      <c r="K14" s="1">
        <f t="shared" si="7"/>
        <v>0</v>
      </c>
      <c r="L14" s="1">
        <f t="shared" si="8"/>
        <v>0</v>
      </c>
      <c r="M14" s="1">
        <f t="shared" si="9"/>
        <v>0</v>
      </c>
      <c r="N14" s="1">
        <f t="shared" si="10"/>
        <v>0</v>
      </c>
      <c r="O14" s="1">
        <f t="shared" si="11"/>
        <v>0</v>
      </c>
      <c r="P14" s="1">
        <f t="shared" si="12"/>
        <v>0</v>
      </c>
      <c r="Q14" s="1">
        <f t="shared" si="13"/>
        <v>0</v>
      </c>
      <c r="R14" s="81">
        <f t="shared" si="14"/>
        <v>0</v>
      </c>
      <c r="S14">
        <f t="shared" si="15"/>
        <v>0</v>
      </c>
      <c r="T14">
        <f t="shared" si="16"/>
        <v>0</v>
      </c>
      <c r="U14" s="45">
        <v>8</v>
      </c>
      <c r="V14" s="46">
        <f t="shared" si="2"/>
        <v>25</v>
      </c>
      <c r="W14" s="42"/>
      <c r="X14" s="79">
        <v>20</v>
      </c>
      <c r="Y14" s="79">
        <v>0</v>
      </c>
      <c r="Z14" s="79">
        <v>0</v>
      </c>
      <c r="AI14" s="67">
        <f>AC2</f>
        <v>41716</v>
      </c>
      <c r="AJ14" s="22" t="s">
        <v>47</v>
      </c>
      <c r="AK14" s="23">
        <v>6</v>
      </c>
      <c r="AL14" s="24">
        <v>60000</v>
      </c>
      <c r="AM14" s="24">
        <v>300</v>
      </c>
      <c r="AN14" s="74">
        <f t="shared" si="17"/>
        <v>300</v>
      </c>
    </row>
    <row r="15" spans="1:40" ht="28.05" customHeight="1" thickBot="1">
      <c r="B15" s="40" t="s">
        <v>103</v>
      </c>
      <c r="C15" s="47">
        <v>39183</v>
      </c>
      <c r="D15" s="76" t="s">
        <v>146</v>
      </c>
      <c r="E15" s="8">
        <v>20</v>
      </c>
      <c r="F15" s="1" t="str">
        <f t="shared" si="1"/>
        <v>3</v>
      </c>
      <c r="G15" s="69">
        <f t="shared" si="3"/>
        <v>0</v>
      </c>
      <c r="H15" s="69">
        <f t="shared" si="4"/>
        <v>0</v>
      </c>
      <c r="I15" s="1">
        <f t="shared" si="5"/>
        <v>0</v>
      </c>
      <c r="J15" s="1">
        <f t="shared" si="6"/>
        <v>0</v>
      </c>
      <c r="K15" s="1">
        <f t="shared" si="7"/>
        <v>0</v>
      </c>
      <c r="L15" s="1">
        <f t="shared" si="8"/>
        <v>0</v>
      </c>
      <c r="M15" s="1">
        <f t="shared" si="9"/>
        <v>0</v>
      </c>
      <c r="N15" s="1">
        <f t="shared" si="10"/>
        <v>0</v>
      </c>
      <c r="O15" s="1">
        <f t="shared" si="11"/>
        <v>0</v>
      </c>
      <c r="P15" s="1">
        <f t="shared" si="12"/>
        <v>0</v>
      </c>
      <c r="Q15" s="1">
        <f t="shared" si="13"/>
        <v>0</v>
      </c>
      <c r="R15" s="81">
        <f t="shared" si="14"/>
        <v>0</v>
      </c>
      <c r="S15">
        <f t="shared" si="15"/>
        <v>0</v>
      </c>
      <c r="T15">
        <f t="shared" si="16"/>
        <v>0</v>
      </c>
      <c r="U15" s="45">
        <v>9</v>
      </c>
      <c r="V15" s="46">
        <f t="shared" si="2"/>
        <v>36.799999999999997</v>
      </c>
      <c r="W15" s="42"/>
      <c r="X15" s="79">
        <v>20</v>
      </c>
      <c r="Y15" s="79">
        <v>0</v>
      </c>
      <c r="Z15" s="79">
        <v>0</v>
      </c>
      <c r="AI15" s="67">
        <f>AD2</f>
        <v>18669</v>
      </c>
      <c r="AJ15" s="22" t="s">
        <v>47</v>
      </c>
      <c r="AK15" s="23">
        <v>7</v>
      </c>
      <c r="AL15" s="24">
        <v>60000</v>
      </c>
      <c r="AM15" s="24">
        <v>300</v>
      </c>
      <c r="AN15" s="74">
        <f t="shared" si="17"/>
        <v>300</v>
      </c>
    </row>
    <row r="16" spans="1:40" ht="28.05" customHeight="1" thickBot="1">
      <c r="A16" s="89"/>
      <c r="B16" s="90" t="s">
        <v>103</v>
      </c>
      <c r="C16" s="47">
        <v>12072</v>
      </c>
      <c r="D16" s="76" t="s">
        <v>158</v>
      </c>
      <c r="E16" s="8">
        <v>20</v>
      </c>
      <c r="F16" s="1" t="str">
        <f t="shared" si="1"/>
        <v>2</v>
      </c>
      <c r="G16" s="69">
        <f t="shared" si="3"/>
        <v>0</v>
      </c>
      <c r="H16" s="69">
        <f t="shared" si="4"/>
        <v>0</v>
      </c>
      <c r="I16" s="1">
        <f t="shared" si="5"/>
        <v>0</v>
      </c>
      <c r="J16" s="1">
        <f t="shared" si="6"/>
        <v>0</v>
      </c>
      <c r="K16" s="1">
        <f t="shared" si="7"/>
        <v>0</v>
      </c>
      <c r="L16" s="1">
        <f t="shared" si="8"/>
        <v>0</v>
      </c>
      <c r="M16" s="1">
        <f t="shared" si="9"/>
        <v>0</v>
      </c>
      <c r="N16" s="1">
        <f t="shared" si="10"/>
        <v>0</v>
      </c>
      <c r="O16" s="1">
        <f t="shared" si="11"/>
        <v>0</v>
      </c>
      <c r="P16" s="1">
        <f t="shared" si="12"/>
        <v>0</v>
      </c>
      <c r="Q16" s="1">
        <f t="shared" si="13"/>
        <v>20</v>
      </c>
      <c r="R16" s="81">
        <f t="shared" si="14"/>
        <v>20</v>
      </c>
      <c r="S16">
        <f t="shared" si="15"/>
        <v>0</v>
      </c>
      <c r="T16">
        <f t="shared" si="16"/>
        <v>20</v>
      </c>
      <c r="X16" s="79">
        <v>20</v>
      </c>
      <c r="Y16" s="79">
        <v>0</v>
      </c>
      <c r="Z16" s="79">
        <v>0</v>
      </c>
      <c r="AI16" s="67">
        <f>AE2</f>
        <v>0</v>
      </c>
      <c r="AJ16" s="22" t="s">
        <v>47</v>
      </c>
      <c r="AK16" s="23">
        <v>8</v>
      </c>
      <c r="AL16" s="24">
        <v>60000</v>
      </c>
      <c r="AM16" s="24">
        <v>300</v>
      </c>
      <c r="AN16" s="74">
        <f t="shared" si="17"/>
        <v>300</v>
      </c>
    </row>
    <row r="17" spans="2:40" ht="28.05" customHeight="1" thickBot="1">
      <c r="B17" s="40" t="s">
        <v>103</v>
      </c>
      <c r="C17" s="47">
        <v>86109</v>
      </c>
      <c r="D17" s="76" t="s">
        <v>147</v>
      </c>
      <c r="E17" s="8">
        <v>16.8</v>
      </c>
      <c r="F17" s="1" t="str">
        <f t="shared" si="1"/>
        <v>9</v>
      </c>
      <c r="G17" s="69">
        <f t="shared" si="3"/>
        <v>0</v>
      </c>
      <c r="H17" s="69">
        <f t="shared" si="4"/>
        <v>0</v>
      </c>
      <c r="I17" s="1">
        <f t="shared" si="5"/>
        <v>0</v>
      </c>
      <c r="J17" s="1">
        <f t="shared" si="6"/>
        <v>0</v>
      </c>
      <c r="K17" s="1">
        <f t="shared" si="7"/>
        <v>0</v>
      </c>
      <c r="L17" s="1">
        <f t="shared" si="8"/>
        <v>0</v>
      </c>
      <c r="M17" s="1">
        <f t="shared" si="9"/>
        <v>0</v>
      </c>
      <c r="N17" s="1">
        <f t="shared" si="10"/>
        <v>0</v>
      </c>
      <c r="O17" s="1">
        <f t="shared" si="11"/>
        <v>0</v>
      </c>
      <c r="P17" s="1">
        <f t="shared" si="12"/>
        <v>0</v>
      </c>
      <c r="Q17" s="1">
        <f t="shared" si="13"/>
        <v>0</v>
      </c>
      <c r="R17" s="81">
        <f t="shared" si="14"/>
        <v>0</v>
      </c>
      <c r="S17">
        <f t="shared" si="15"/>
        <v>0</v>
      </c>
      <c r="T17">
        <f t="shared" si="16"/>
        <v>0</v>
      </c>
      <c r="X17" s="79">
        <v>20</v>
      </c>
      <c r="Y17" s="79">
        <v>0</v>
      </c>
      <c r="Z17" s="79">
        <v>0</v>
      </c>
      <c r="AI17" s="38"/>
      <c r="AJ17" s="25" t="s">
        <v>48</v>
      </c>
      <c r="AK17" s="26">
        <v>1794</v>
      </c>
      <c r="AL17" s="27">
        <v>1000</v>
      </c>
      <c r="AM17" s="27">
        <v>5</v>
      </c>
      <c r="AN17" s="74">
        <f t="shared" si="17"/>
        <v>5</v>
      </c>
    </row>
    <row r="18" spans="2:40" ht="28.05" customHeight="1" thickBot="1">
      <c r="B18" s="40" t="s">
        <v>103</v>
      </c>
      <c r="C18" s="47">
        <v>26278</v>
      </c>
      <c r="D18" s="76" t="s">
        <v>148</v>
      </c>
      <c r="E18" s="8">
        <v>5</v>
      </c>
      <c r="F18" s="1" t="str">
        <f t="shared" si="1"/>
        <v>8</v>
      </c>
      <c r="G18" s="69">
        <f t="shared" si="3"/>
        <v>0</v>
      </c>
      <c r="H18" s="69">
        <f t="shared" si="4"/>
        <v>0</v>
      </c>
      <c r="I18" s="1">
        <f t="shared" si="5"/>
        <v>0</v>
      </c>
      <c r="J18" s="1">
        <f t="shared" si="6"/>
        <v>0</v>
      </c>
      <c r="K18" s="1">
        <f t="shared" si="7"/>
        <v>0</v>
      </c>
      <c r="L18" s="1">
        <f t="shared" si="8"/>
        <v>0</v>
      </c>
      <c r="M18" s="1">
        <f t="shared" si="9"/>
        <v>0</v>
      </c>
      <c r="N18" s="1">
        <f t="shared" si="10"/>
        <v>0</v>
      </c>
      <c r="O18" s="1">
        <f t="shared" si="11"/>
        <v>0</v>
      </c>
      <c r="P18" s="1">
        <f t="shared" si="12"/>
        <v>0</v>
      </c>
      <c r="Q18" s="1">
        <f t="shared" si="13"/>
        <v>0</v>
      </c>
      <c r="R18" s="81">
        <f t="shared" si="14"/>
        <v>0</v>
      </c>
      <c r="S18">
        <f t="shared" si="15"/>
        <v>0</v>
      </c>
      <c r="T18">
        <f t="shared" si="16"/>
        <v>0</v>
      </c>
      <c r="X18" s="79">
        <v>0</v>
      </c>
      <c r="Y18" s="79">
        <v>0</v>
      </c>
      <c r="Z18" s="79">
        <v>5</v>
      </c>
      <c r="AI18" s="33">
        <f>AI4-1</f>
        <v>79431</v>
      </c>
      <c r="AJ18" s="19" t="s">
        <v>57</v>
      </c>
      <c r="AK18" s="20">
        <v>1</v>
      </c>
      <c r="AL18" s="21">
        <v>20000</v>
      </c>
      <c r="AM18" s="21">
        <v>100</v>
      </c>
      <c r="AN18" s="74">
        <f t="shared" si="17"/>
        <v>100</v>
      </c>
    </row>
    <row r="19" spans="2:40" ht="28.05" customHeight="1" thickBot="1">
      <c r="B19" s="40" t="s">
        <v>103</v>
      </c>
      <c r="C19" s="47">
        <v>80680</v>
      </c>
      <c r="D19" s="76" t="s">
        <v>149</v>
      </c>
      <c r="E19" s="8">
        <v>5</v>
      </c>
      <c r="F19" s="1" t="str">
        <f t="shared" si="1"/>
        <v>0</v>
      </c>
      <c r="G19" s="69">
        <f t="shared" si="3"/>
        <v>0</v>
      </c>
      <c r="H19" s="69">
        <f t="shared" si="4"/>
        <v>0</v>
      </c>
      <c r="I19" s="1">
        <f t="shared" si="5"/>
        <v>0</v>
      </c>
      <c r="J19" s="1">
        <f t="shared" si="6"/>
        <v>0</v>
      </c>
      <c r="K19" s="1">
        <f t="shared" si="7"/>
        <v>0</v>
      </c>
      <c r="L19" s="1">
        <f t="shared" si="8"/>
        <v>0</v>
      </c>
      <c r="M19" s="1">
        <f t="shared" si="9"/>
        <v>0</v>
      </c>
      <c r="N19" s="1">
        <f t="shared" si="10"/>
        <v>0</v>
      </c>
      <c r="O19" s="1">
        <f t="shared" si="11"/>
        <v>0</v>
      </c>
      <c r="P19" s="1">
        <f t="shared" si="12"/>
        <v>0</v>
      </c>
      <c r="Q19" s="1">
        <f t="shared" si="13"/>
        <v>0</v>
      </c>
      <c r="R19" s="81">
        <f t="shared" si="14"/>
        <v>0</v>
      </c>
      <c r="S19">
        <f t="shared" si="15"/>
        <v>0</v>
      </c>
      <c r="T19">
        <f t="shared" si="16"/>
        <v>0</v>
      </c>
      <c r="X19" s="79">
        <v>0</v>
      </c>
      <c r="Y19" s="79">
        <v>0</v>
      </c>
      <c r="Z19" s="79">
        <v>5</v>
      </c>
      <c r="AI19" s="33">
        <f>AI4+1</f>
        <v>79433</v>
      </c>
      <c r="AJ19" s="19" t="s">
        <v>58</v>
      </c>
      <c r="AK19" s="20">
        <v>1</v>
      </c>
      <c r="AL19" s="21">
        <v>20000</v>
      </c>
      <c r="AM19" s="21">
        <v>100</v>
      </c>
      <c r="AN19" s="74">
        <f t="shared" si="17"/>
        <v>100</v>
      </c>
    </row>
    <row r="20" spans="2:40" ht="28.05" customHeight="1" thickBot="1">
      <c r="B20" s="40" t="s">
        <v>103</v>
      </c>
      <c r="C20" s="47">
        <v>70990</v>
      </c>
      <c r="D20" s="76" t="s">
        <v>150</v>
      </c>
      <c r="E20" s="8">
        <v>10</v>
      </c>
      <c r="F20" s="1" t="str">
        <f t="shared" si="1"/>
        <v>0</v>
      </c>
      <c r="G20" s="69">
        <f t="shared" si="3"/>
        <v>0</v>
      </c>
      <c r="H20" s="69">
        <f t="shared" si="4"/>
        <v>0</v>
      </c>
      <c r="I20" s="1">
        <f t="shared" si="5"/>
        <v>0</v>
      </c>
      <c r="J20" s="1">
        <f t="shared" si="6"/>
        <v>0</v>
      </c>
      <c r="K20" s="1">
        <f t="shared" si="7"/>
        <v>0</v>
      </c>
      <c r="L20" s="1">
        <f t="shared" si="8"/>
        <v>0</v>
      </c>
      <c r="M20" s="1">
        <f t="shared" si="9"/>
        <v>0</v>
      </c>
      <c r="N20" s="1">
        <f t="shared" si="10"/>
        <v>0</v>
      </c>
      <c r="O20" s="1">
        <f t="shared" si="11"/>
        <v>0</v>
      </c>
      <c r="P20" s="1">
        <f t="shared" si="12"/>
        <v>0</v>
      </c>
      <c r="Q20" s="1">
        <f t="shared" si="13"/>
        <v>0</v>
      </c>
      <c r="R20" s="81">
        <f t="shared" si="14"/>
        <v>0</v>
      </c>
      <c r="S20">
        <f t="shared" si="15"/>
        <v>0</v>
      </c>
      <c r="T20">
        <f t="shared" si="16"/>
        <v>0</v>
      </c>
      <c r="X20" s="79">
        <v>0</v>
      </c>
      <c r="Y20" s="79">
        <v>0</v>
      </c>
      <c r="Z20" s="79">
        <v>0</v>
      </c>
      <c r="AI20" s="33">
        <f>AI5-1</f>
        <v>70047</v>
      </c>
      <c r="AJ20" s="22" t="s">
        <v>59</v>
      </c>
      <c r="AK20" s="23">
        <v>2</v>
      </c>
      <c r="AL20" s="24">
        <v>12500</v>
      </c>
      <c r="AM20" s="28">
        <v>62.5</v>
      </c>
      <c r="AN20" s="74">
        <f t="shared" si="17"/>
        <v>62.5</v>
      </c>
    </row>
    <row r="21" spans="2:40" ht="28.05" customHeight="1" thickBot="1">
      <c r="B21" s="40" t="s">
        <v>103</v>
      </c>
      <c r="C21" s="47">
        <v>81696</v>
      </c>
      <c r="D21" s="76" t="s">
        <v>150</v>
      </c>
      <c r="E21" s="8">
        <v>10</v>
      </c>
      <c r="F21" s="1" t="str">
        <f t="shared" si="1"/>
        <v>6</v>
      </c>
      <c r="G21" s="69">
        <f t="shared" si="3"/>
        <v>0</v>
      </c>
      <c r="H21" s="69">
        <f t="shared" si="4"/>
        <v>0</v>
      </c>
      <c r="I21" s="1">
        <f t="shared" si="5"/>
        <v>0</v>
      </c>
      <c r="J21" s="1">
        <f t="shared" si="6"/>
        <v>0</v>
      </c>
      <c r="K21" s="1">
        <f t="shared" si="7"/>
        <v>0</v>
      </c>
      <c r="L21" s="1">
        <f t="shared" si="8"/>
        <v>0</v>
      </c>
      <c r="M21" s="1">
        <f t="shared" si="9"/>
        <v>0</v>
      </c>
      <c r="N21" s="1">
        <f t="shared" si="10"/>
        <v>0</v>
      </c>
      <c r="O21" s="1">
        <f t="shared" si="11"/>
        <v>0</v>
      </c>
      <c r="P21" s="1">
        <f t="shared" si="12"/>
        <v>0</v>
      </c>
      <c r="Q21" s="1">
        <f t="shared" si="13"/>
        <v>0</v>
      </c>
      <c r="R21" s="81">
        <f t="shared" si="14"/>
        <v>0</v>
      </c>
      <c r="S21">
        <f t="shared" si="15"/>
        <v>0</v>
      </c>
      <c r="T21">
        <f t="shared" si="16"/>
        <v>0</v>
      </c>
      <c r="X21" s="79">
        <v>0</v>
      </c>
      <c r="Y21" s="79">
        <v>0</v>
      </c>
      <c r="Z21" s="79">
        <v>0</v>
      </c>
      <c r="AI21" s="33">
        <f>AI5+1</f>
        <v>70049</v>
      </c>
      <c r="AJ21" s="22" t="s">
        <v>60</v>
      </c>
      <c r="AK21" s="23">
        <v>2</v>
      </c>
      <c r="AL21" s="24">
        <v>12500</v>
      </c>
      <c r="AM21" s="28">
        <v>62.5</v>
      </c>
      <c r="AN21" s="74">
        <f t="shared" si="17"/>
        <v>62.5</v>
      </c>
    </row>
    <row r="22" spans="2:40" ht="28.05" customHeight="1" thickBot="1">
      <c r="B22" s="40" t="s">
        <v>103</v>
      </c>
      <c r="C22" s="47">
        <v>53747</v>
      </c>
      <c r="D22" s="76" t="s">
        <v>152</v>
      </c>
      <c r="E22" s="8">
        <v>5</v>
      </c>
      <c r="F22" s="1" t="str">
        <f t="shared" si="1"/>
        <v>7</v>
      </c>
      <c r="G22" s="69">
        <f t="shared" si="3"/>
        <v>0</v>
      </c>
      <c r="H22" s="69">
        <f t="shared" si="4"/>
        <v>0</v>
      </c>
      <c r="I22" s="1">
        <f t="shared" si="5"/>
        <v>0</v>
      </c>
      <c r="J22" s="1">
        <f t="shared" si="6"/>
        <v>0</v>
      </c>
      <c r="K22" s="1">
        <f t="shared" si="7"/>
        <v>0</v>
      </c>
      <c r="L22" s="1">
        <f t="shared" si="8"/>
        <v>0</v>
      </c>
      <c r="M22" s="1">
        <f t="shared" si="9"/>
        <v>0</v>
      </c>
      <c r="N22" s="1">
        <f t="shared" si="10"/>
        <v>0</v>
      </c>
      <c r="O22" s="1">
        <f t="shared" si="11"/>
        <v>0</v>
      </c>
      <c r="P22" s="1">
        <f t="shared" si="12"/>
        <v>0</v>
      </c>
      <c r="Q22" s="1">
        <f t="shared" si="13"/>
        <v>0</v>
      </c>
      <c r="R22" s="81">
        <f t="shared" si="14"/>
        <v>0</v>
      </c>
      <c r="S22">
        <f t="shared" si="15"/>
        <v>0</v>
      </c>
      <c r="T22">
        <f t="shared" si="16"/>
        <v>0</v>
      </c>
      <c r="X22" s="79">
        <v>0</v>
      </c>
      <c r="Y22" s="79">
        <v>0</v>
      </c>
      <c r="Z22" s="79">
        <v>5</v>
      </c>
      <c r="AI22" s="33">
        <f>AI6-1</f>
        <v>90692</v>
      </c>
      <c r="AJ22" s="29" t="s">
        <v>61</v>
      </c>
      <c r="AK22" s="30">
        <v>2</v>
      </c>
      <c r="AL22" s="31">
        <v>9600</v>
      </c>
      <c r="AM22" s="31">
        <v>48</v>
      </c>
      <c r="AN22" s="74">
        <f t="shared" si="17"/>
        <v>48</v>
      </c>
    </row>
    <row r="23" spans="2:40" ht="28.05" customHeight="1" thickBot="1">
      <c r="B23" s="40" t="s">
        <v>103</v>
      </c>
      <c r="C23" s="47">
        <v>42514</v>
      </c>
      <c r="D23" s="76" t="s">
        <v>151</v>
      </c>
      <c r="E23" s="8">
        <v>5</v>
      </c>
      <c r="F23" s="1" t="str">
        <f t="shared" si="1"/>
        <v>4</v>
      </c>
      <c r="G23" s="69">
        <f t="shared" si="3"/>
        <v>0</v>
      </c>
      <c r="H23" s="69">
        <f t="shared" si="4"/>
        <v>0</v>
      </c>
      <c r="I23" s="1">
        <f t="shared" si="5"/>
        <v>0</v>
      </c>
      <c r="J23" s="1">
        <f t="shared" si="6"/>
        <v>0</v>
      </c>
      <c r="K23" s="1">
        <f t="shared" si="7"/>
        <v>0</v>
      </c>
      <c r="L23" s="1">
        <f t="shared" si="8"/>
        <v>0</v>
      </c>
      <c r="M23" s="1">
        <f t="shared" si="9"/>
        <v>0</v>
      </c>
      <c r="N23" s="1">
        <f t="shared" si="10"/>
        <v>0</v>
      </c>
      <c r="O23" s="1">
        <f t="shared" si="11"/>
        <v>0</v>
      </c>
      <c r="P23" s="1">
        <f t="shared" si="12"/>
        <v>0</v>
      </c>
      <c r="Q23" s="1">
        <f t="shared" si="13"/>
        <v>0</v>
      </c>
      <c r="R23" s="81">
        <f t="shared" si="14"/>
        <v>0</v>
      </c>
      <c r="S23">
        <f t="shared" si="15"/>
        <v>0</v>
      </c>
      <c r="T23">
        <f t="shared" si="16"/>
        <v>0</v>
      </c>
      <c r="X23" s="79">
        <v>0</v>
      </c>
      <c r="Y23" s="79">
        <v>0</v>
      </c>
      <c r="Z23" s="79">
        <v>5</v>
      </c>
      <c r="AI23" s="33">
        <f>AI6+1</f>
        <v>90694</v>
      </c>
      <c r="AJ23" s="29" t="s">
        <v>62</v>
      </c>
      <c r="AK23" s="30">
        <v>2</v>
      </c>
      <c r="AL23" s="31">
        <v>9600</v>
      </c>
      <c r="AM23" s="31">
        <v>48</v>
      </c>
      <c r="AN23" s="74">
        <f t="shared" si="17"/>
        <v>48</v>
      </c>
    </row>
    <row r="24" spans="2:40" ht="28.05" customHeight="1" thickBot="1">
      <c r="B24" s="40" t="s">
        <v>103</v>
      </c>
      <c r="C24" s="47">
        <v>24395</v>
      </c>
      <c r="D24" s="76" t="s">
        <v>153</v>
      </c>
      <c r="E24" s="8">
        <v>5</v>
      </c>
      <c r="F24" s="1" t="str">
        <f t="shared" si="1"/>
        <v>5</v>
      </c>
      <c r="G24" s="69">
        <f t="shared" si="3"/>
        <v>0</v>
      </c>
      <c r="H24" s="69">
        <f t="shared" si="4"/>
        <v>0</v>
      </c>
      <c r="I24" s="1">
        <f t="shared" si="5"/>
        <v>0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si="9"/>
        <v>0</v>
      </c>
      <c r="N24" s="1">
        <f t="shared" si="10"/>
        <v>0</v>
      </c>
      <c r="O24" s="1">
        <f t="shared" si="11"/>
        <v>0</v>
      </c>
      <c r="P24" s="1">
        <f t="shared" si="12"/>
        <v>0</v>
      </c>
      <c r="Q24" s="1">
        <f t="shared" si="13"/>
        <v>0</v>
      </c>
      <c r="R24" s="81">
        <f t="shared" si="14"/>
        <v>0</v>
      </c>
      <c r="S24">
        <f t="shared" si="15"/>
        <v>0</v>
      </c>
      <c r="T24">
        <f t="shared" si="16"/>
        <v>0</v>
      </c>
      <c r="X24" s="79">
        <v>0</v>
      </c>
      <c r="Y24" s="79">
        <v>0</v>
      </c>
      <c r="Z24" s="79">
        <v>5</v>
      </c>
      <c r="AI24" s="33" t="str">
        <f>LEFT(AI4,3)</f>
        <v>794</v>
      </c>
      <c r="AJ24" s="15" t="s">
        <v>63</v>
      </c>
      <c r="AK24" s="16">
        <v>99</v>
      </c>
      <c r="AL24" s="17">
        <v>1000</v>
      </c>
      <c r="AM24" s="17">
        <v>5</v>
      </c>
      <c r="AN24" s="74">
        <f t="shared" si="17"/>
        <v>5</v>
      </c>
    </row>
    <row r="25" spans="2:40" ht="28.05" customHeight="1" thickBot="1">
      <c r="B25" s="40" t="s">
        <v>103</v>
      </c>
      <c r="C25" s="47">
        <v>66331</v>
      </c>
      <c r="D25" s="76" t="s">
        <v>154</v>
      </c>
      <c r="E25" s="8">
        <v>5</v>
      </c>
      <c r="F25" s="1" t="str">
        <f t="shared" si="1"/>
        <v>1</v>
      </c>
      <c r="G25" s="69">
        <f t="shared" si="3"/>
        <v>0</v>
      </c>
      <c r="H25" s="69">
        <f t="shared" si="4"/>
        <v>0</v>
      </c>
      <c r="I25" s="1">
        <f t="shared" si="5"/>
        <v>0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N25" s="1">
        <f t="shared" si="10"/>
        <v>0</v>
      </c>
      <c r="O25" s="1">
        <f t="shared" si="11"/>
        <v>0</v>
      </c>
      <c r="P25" s="1">
        <f t="shared" si="12"/>
        <v>0</v>
      </c>
      <c r="Q25" s="1">
        <f t="shared" si="13"/>
        <v>0</v>
      </c>
      <c r="R25" s="81">
        <f t="shared" si="14"/>
        <v>0</v>
      </c>
      <c r="S25">
        <f t="shared" si="15"/>
        <v>0</v>
      </c>
      <c r="T25">
        <f t="shared" si="16"/>
        <v>0</v>
      </c>
      <c r="X25" s="79">
        <v>0</v>
      </c>
      <c r="Y25" s="79">
        <v>0</v>
      </c>
      <c r="Z25" s="79">
        <v>5</v>
      </c>
      <c r="AI25" s="33" t="str">
        <f t="shared" ref="AI25:AI28" si="18">LEFT(AI5,3)</f>
        <v>700</v>
      </c>
      <c r="AJ25" s="15" t="s">
        <v>49</v>
      </c>
      <c r="AK25" s="16">
        <v>99</v>
      </c>
      <c r="AL25" s="17">
        <v>1000</v>
      </c>
      <c r="AM25" s="17">
        <v>5</v>
      </c>
      <c r="AN25" s="74">
        <f t="shared" si="17"/>
        <v>5</v>
      </c>
    </row>
    <row r="26" spans="2:40" ht="28.05" customHeight="1" thickBot="1">
      <c r="B26" s="40" t="s">
        <v>103</v>
      </c>
      <c r="C26" s="47">
        <v>38642</v>
      </c>
      <c r="D26" s="76" t="s">
        <v>21</v>
      </c>
      <c r="E26" s="8">
        <v>4</v>
      </c>
      <c r="F26" s="1" t="str">
        <f t="shared" si="1"/>
        <v>2</v>
      </c>
      <c r="G26" s="69">
        <f t="shared" si="3"/>
        <v>0</v>
      </c>
      <c r="H26" s="69">
        <f t="shared" si="4"/>
        <v>0</v>
      </c>
      <c r="I26" s="1">
        <f t="shared" si="5"/>
        <v>0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N26" s="1">
        <f t="shared" si="10"/>
        <v>0</v>
      </c>
      <c r="O26" s="1">
        <f t="shared" si="11"/>
        <v>0</v>
      </c>
      <c r="P26" s="1">
        <f t="shared" si="12"/>
        <v>0</v>
      </c>
      <c r="Q26" s="1">
        <f t="shared" si="13"/>
        <v>4</v>
      </c>
      <c r="R26" s="81">
        <f t="shared" si="14"/>
        <v>4</v>
      </c>
      <c r="S26">
        <f t="shared" si="15"/>
        <v>0</v>
      </c>
      <c r="T26">
        <f t="shared" si="16"/>
        <v>4</v>
      </c>
      <c r="X26" s="79">
        <v>0</v>
      </c>
      <c r="Y26" s="79">
        <v>0</v>
      </c>
      <c r="Z26" s="79">
        <v>4</v>
      </c>
      <c r="AI26" s="33" t="str">
        <f t="shared" si="18"/>
        <v>906</v>
      </c>
      <c r="AJ26" s="15" t="s">
        <v>50</v>
      </c>
      <c r="AK26" s="16">
        <v>99</v>
      </c>
      <c r="AL26" s="17">
        <v>1000</v>
      </c>
      <c r="AM26" s="17">
        <v>5</v>
      </c>
      <c r="AN26" s="74">
        <f t="shared" si="17"/>
        <v>5</v>
      </c>
    </row>
    <row r="27" spans="2:40" ht="28.05" customHeight="1" thickBot="1">
      <c r="B27" s="40" t="s">
        <v>103</v>
      </c>
      <c r="C27" s="47">
        <v>62446</v>
      </c>
      <c r="D27" s="76" t="s">
        <v>20</v>
      </c>
      <c r="E27" s="8">
        <v>4</v>
      </c>
      <c r="F27" s="1" t="str">
        <f t="shared" si="1"/>
        <v>6</v>
      </c>
      <c r="G27" s="69">
        <f t="shared" si="3"/>
        <v>0</v>
      </c>
      <c r="H27" s="69">
        <f t="shared" si="4"/>
        <v>0</v>
      </c>
      <c r="I27" s="1">
        <f t="shared" si="5"/>
        <v>0</v>
      </c>
      <c r="J27" s="1">
        <f t="shared" si="6"/>
        <v>0</v>
      </c>
      <c r="K27" s="1">
        <f t="shared" si="7"/>
        <v>0</v>
      </c>
      <c r="L27" s="1">
        <f t="shared" si="8"/>
        <v>0</v>
      </c>
      <c r="M27" s="1">
        <f t="shared" si="9"/>
        <v>0</v>
      </c>
      <c r="N27" s="1">
        <f t="shared" si="10"/>
        <v>0</v>
      </c>
      <c r="O27" s="1">
        <f t="shared" si="11"/>
        <v>0</v>
      </c>
      <c r="P27" s="1">
        <f t="shared" si="12"/>
        <v>0</v>
      </c>
      <c r="Q27" s="1">
        <f t="shared" si="13"/>
        <v>0</v>
      </c>
      <c r="R27" s="81">
        <f t="shared" si="14"/>
        <v>0</v>
      </c>
      <c r="S27">
        <f t="shared" si="15"/>
        <v>0</v>
      </c>
      <c r="T27">
        <f t="shared" si="16"/>
        <v>0</v>
      </c>
      <c r="X27" s="79">
        <v>0</v>
      </c>
      <c r="Y27" s="79">
        <v>0</v>
      </c>
      <c r="Z27" s="79">
        <v>4</v>
      </c>
      <c r="AI27" s="33" t="str">
        <f t="shared" si="18"/>
        <v>784</v>
      </c>
      <c r="AJ27" s="35" t="s">
        <v>64</v>
      </c>
      <c r="AK27" s="36">
        <v>198</v>
      </c>
      <c r="AL27" s="37">
        <v>1000</v>
      </c>
      <c r="AM27" s="37">
        <v>5</v>
      </c>
      <c r="AN27" s="74">
        <f t="shared" si="17"/>
        <v>5</v>
      </c>
    </row>
    <row r="28" spans="2:40" ht="28.05" customHeight="1" thickBot="1">
      <c r="B28" s="40" t="s">
        <v>103</v>
      </c>
      <c r="C28" s="47">
        <v>86932</v>
      </c>
      <c r="D28" s="76" t="s">
        <v>22</v>
      </c>
      <c r="E28" s="8">
        <v>4</v>
      </c>
      <c r="F28" s="1" t="str">
        <f t="shared" si="1"/>
        <v>2</v>
      </c>
      <c r="G28" s="69">
        <f t="shared" si="3"/>
        <v>0</v>
      </c>
      <c r="H28" s="69">
        <f t="shared" si="4"/>
        <v>0</v>
      </c>
      <c r="I28" s="1">
        <f t="shared" si="5"/>
        <v>0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N28" s="1">
        <f t="shared" si="10"/>
        <v>0</v>
      </c>
      <c r="O28" s="1">
        <f t="shared" si="11"/>
        <v>0</v>
      </c>
      <c r="P28" s="1">
        <f t="shared" si="12"/>
        <v>20</v>
      </c>
      <c r="Q28" s="1">
        <f t="shared" si="13"/>
        <v>4</v>
      </c>
      <c r="R28" s="81">
        <f t="shared" si="14"/>
        <v>24</v>
      </c>
      <c r="S28">
        <f t="shared" si="15"/>
        <v>0</v>
      </c>
      <c r="T28">
        <f t="shared" si="16"/>
        <v>24</v>
      </c>
      <c r="X28" s="79">
        <v>0</v>
      </c>
      <c r="Y28" s="79">
        <v>0</v>
      </c>
      <c r="Z28" s="79">
        <v>4</v>
      </c>
      <c r="AI28" s="33" t="str">
        <f t="shared" si="18"/>
        <v>255</v>
      </c>
      <c r="AJ28" s="35" t="s">
        <v>65</v>
      </c>
      <c r="AK28" s="36">
        <v>198</v>
      </c>
      <c r="AL28" s="37">
        <v>1000</v>
      </c>
      <c r="AM28" s="37">
        <v>5</v>
      </c>
      <c r="AN28" s="74">
        <f t="shared" si="17"/>
        <v>5</v>
      </c>
    </row>
    <row r="29" spans="2:40" ht="28.05" customHeight="1" thickBot="1">
      <c r="B29" s="40" t="s">
        <v>103</v>
      </c>
      <c r="C29" s="47">
        <v>98831</v>
      </c>
      <c r="D29" s="76" t="s">
        <v>19</v>
      </c>
      <c r="E29" s="8">
        <v>4</v>
      </c>
      <c r="F29" s="1" t="str">
        <f t="shared" si="1"/>
        <v>1</v>
      </c>
      <c r="G29" s="69">
        <f t="shared" si="3"/>
        <v>0</v>
      </c>
      <c r="H29" s="69">
        <f t="shared" si="4"/>
        <v>0</v>
      </c>
      <c r="I29" s="1">
        <f t="shared" si="5"/>
        <v>0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N29" s="1">
        <f t="shared" si="10"/>
        <v>0</v>
      </c>
      <c r="O29" s="1">
        <f t="shared" si="11"/>
        <v>0</v>
      </c>
      <c r="P29" s="1">
        <f t="shared" si="12"/>
        <v>0</v>
      </c>
      <c r="Q29" s="1">
        <f t="shared" si="13"/>
        <v>0</v>
      </c>
      <c r="R29" s="81">
        <f t="shared" si="14"/>
        <v>0</v>
      </c>
      <c r="S29">
        <f t="shared" si="15"/>
        <v>0</v>
      </c>
      <c r="T29">
        <f t="shared" si="16"/>
        <v>0</v>
      </c>
      <c r="X29" s="79">
        <v>0</v>
      </c>
      <c r="Y29" s="79">
        <v>0</v>
      </c>
      <c r="Z29" s="79">
        <v>4</v>
      </c>
      <c r="AI29" s="33" t="str">
        <f>RIGHT(AI4,2)</f>
        <v>32</v>
      </c>
      <c r="AJ29" s="15" t="s">
        <v>51</v>
      </c>
      <c r="AK29" s="16">
        <v>999</v>
      </c>
      <c r="AL29" s="17">
        <v>1000</v>
      </c>
      <c r="AM29" s="17">
        <v>5</v>
      </c>
      <c r="AN29" s="74">
        <f t="shared" si="17"/>
        <v>5</v>
      </c>
    </row>
    <row r="30" spans="2:40" ht="28.05" customHeight="1" thickBot="1">
      <c r="B30" s="40" t="s">
        <v>103</v>
      </c>
      <c r="C30" s="47">
        <v>52523</v>
      </c>
      <c r="D30" s="76" t="s">
        <v>155</v>
      </c>
      <c r="E30" s="8">
        <v>20</v>
      </c>
      <c r="F30" s="1" t="str">
        <f t="shared" si="1"/>
        <v>3</v>
      </c>
      <c r="G30" s="69">
        <f t="shared" si="3"/>
        <v>0</v>
      </c>
      <c r="H30" s="69">
        <f t="shared" si="4"/>
        <v>0</v>
      </c>
      <c r="I30" s="1">
        <f t="shared" si="5"/>
        <v>0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N30" s="1">
        <f t="shared" si="10"/>
        <v>0</v>
      </c>
      <c r="O30" s="1">
        <f t="shared" si="11"/>
        <v>0</v>
      </c>
      <c r="P30" s="1">
        <f t="shared" si="12"/>
        <v>0</v>
      </c>
      <c r="Q30" s="1">
        <f t="shared" si="13"/>
        <v>0</v>
      </c>
      <c r="R30" s="81">
        <f t="shared" si="14"/>
        <v>0</v>
      </c>
      <c r="S30">
        <f t="shared" si="15"/>
        <v>0</v>
      </c>
      <c r="T30">
        <f t="shared" si="16"/>
        <v>0</v>
      </c>
      <c r="X30" s="79">
        <v>0</v>
      </c>
      <c r="Y30" s="79">
        <v>0</v>
      </c>
      <c r="Z30" s="79">
        <v>0</v>
      </c>
      <c r="AI30" s="33" t="str">
        <f t="shared" ref="AI30:AI31" si="19">RIGHT(AI5,2)</f>
        <v>48</v>
      </c>
      <c r="AJ30" s="15" t="s">
        <v>52</v>
      </c>
      <c r="AK30" s="16">
        <v>999</v>
      </c>
      <c r="AL30" s="17">
        <v>1000</v>
      </c>
      <c r="AM30" s="17">
        <v>5</v>
      </c>
      <c r="AN30" s="74">
        <f t="shared" si="17"/>
        <v>5</v>
      </c>
    </row>
    <row r="31" spans="2:40" ht="28.05" customHeight="1" thickBot="1">
      <c r="B31" s="40" t="s">
        <v>103</v>
      </c>
      <c r="C31" s="47">
        <v>43827</v>
      </c>
      <c r="D31" s="76" t="s">
        <v>156</v>
      </c>
      <c r="E31" s="8">
        <v>10</v>
      </c>
      <c r="F31" s="1" t="str">
        <f t="shared" si="1"/>
        <v>7</v>
      </c>
      <c r="G31" s="69">
        <f t="shared" si="3"/>
        <v>0</v>
      </c>
      <c r="H31" s="69">
        <f t="shared" si="4"/>
        <v>0</v>
      </c>
      <c r="I31" s="1">
        <f t="shared" si="5"/>
        <v>0</v>
      </c>
      <c r="J31" s="1">
        <f t="shared" si="6"/>
        <v>0</v>
      </c>
      <c r="K31" s="1">
        <f t="shared" si="7"/>
        <v>0</v>
      </c>
      <c r="L31" s="1">
        <f t="shared" si="8"/>
        <v>0</v>
      </c>
      <c r="M31" s="1">
        <f t="shared" si="9"/>
        <v>0</v>
      </c>
      <c r="N31" s="1">
        <f t="shared" si="10"/>
        <v>0</v>
      </c>
      <c r="O31" s="1">
        <f t="shared" si="11"/>
        <v>0</v>
      </c>
      <c r="P31" s="1">
        <f t="shared" si="12"/>
        <v>0</v>
      </c>
      <c r="Q31" s="1">
        <f t="shared" si="13"/>
        <v>0</v>
      </c>
      <c r="R31" s="81">
        <f t="shared" si="14"/>
        <v>0</v>
      </c>
      <c r="S31">
        <f t="shared" si="15"/>
        <v>0</v>
      </c>
      <c r="T31">
        <f t="shared" si="16"/>
        <v>0</v>
      </c>
      <c r="X31" s="79">
        <v>10</v>
      </c>
      <c r="Y31" s="79">
        <v>0</v>
      </c>
      <c r="Z31" s="79">
        <v>0</v>
      </c>
      <c r="AI31" s="33" t="str">
        <f t="shared" si="19"/>
        <v>93</v>
      </c>
      <c r="AJ31" s="15" t="s">
        <v>53</v>
      </c>
      <c r="AK31" s="16">
        <v>999</v>
      </c>
      <c r="AL31" s="17">
        <v>1000</v>
      </c>
      <c r="AM31" s="17">
        <v>5</v>
      </c>
      <c r="AN31" s="74">
        <f t="shared" si="17"/>
        <v>5</v>
      </c>
    </row>
    <row r="32" spans="2:40" ht="28.05" customHeight="1" thickBot="1">
      <c r="B32" s="40" t="s">
        <v>103</v>
      </c>
      <c r="C32" s="47">
        <v>6994</v>
      </c>
      <c r="D32" s="76" t="s">
        <v>157</v>
      </c>
      <c r="E32" s="8">
        <v>20</v>
      </c>
      <c r="F32" s="1" t="str">
        <f t="shared" si="1"/>
        <v>4</v>
      </c>
      <c r="G32" s="69">
        <f t="shared" si="3"/>
        <v>0</v>
      </c>
      <c r="H32" s="69">
        <f t="shared" si="4"/>
        <v>0</v>
      </c>
      <c r="I32" s="1">
        <f t="shared" si="5"/>
        <v>0</v>
      </c>
      <c r="J32" s="1">
        <f t="shared" si="6"/>
        <v>0</v>
      </c>
      <c r="K32" s="1">
        <f t="shared" si="7"/>
        <v>0</v>
      </c>
      <c r="L32" s="1">
        <f t="shared" si="8"/>
        <v>0</v>
      </c>
      <c r="M32" s="1">
        <f t="shared" si="9"/>
        <v>0</v>
      </c>
      <c r="N32" s="1">
        <f t="shared" si="10"/>
        <v>0</v>
      </c>
      <c r="O32" s="1">
        <f t="shared" si="11"/>
        <v>0</v>
      </c>
      <c r="P32" s="1">
        <f t="shared" si="12"/>
        <v>0</v>
      </c>
      <c r="Q32" s="1">
        <f t="shared" si="13"/>
        <v>0</v>
      </c>
      <c r="R32" s="81">
        <f t="shared" si="14"/>
        <v>0</v>
      </c>
      <c r="S32">
        <f t="shared" si="15"/>
        <v>0</v>
      </c>
      <c r="T32">
        <f t="shared" si="16"/>
        <v>0</v>
      </c>
      <c r="X32" s="79">
        <v>20</v>
      </c>
      <c r="Y32" s="79">
        <v>0</v>
      </c>
      <c r="Z32" s="79">
        <v>0</v>
      </c>
      <c r="AI32" s="33" t="str">
        <f>IF(C2="","",RIGHT(AI4,1))</f>
        <v>2</v>
      </c>
      <c r="AJ32" s="15" t="s">
        <v>54</v>
      </c>
      <c r="AK32" s="18">
        <v>9999</v>
      </c>
      <c r="AL32" s="17">
        <v>200</v>
      </c>
      <c r="AM32" s="17">
        <v>1</v>
      </c>
      <c r="AN32" s="74">
        <f t="shared" si="17"/>
        <v>1</v>
      </c>
    </row>
    <row r="33" spans="1:26" ht="28.05" customHeight="1">
      <c r="A33" s="89"/>
      <c r="B33" s="83" t="s">
        <v>127</v>
      </c>
      <c r="C33" s="47">
        <v>51182</v>
      </c>
      <c r="D33" s="76" t="s">
        <v>115</v>
      </c>
      <c r="E33" s="8">
        <v>10</v>
      </c>
      <c r="F33" s="1" t="str">
        <f t="shared" si="1"/>
        <v>2</v>
      </c>
      <c r="G33" s="69">
        <f t="shared" si="3"/>
        <v>0</v>
      </c>
      <c r="H33" s="69">
        <f t="shared" si="4"/>
        <v>0</v>
      </c>
      <c r="I33" s="1">
        <f t="shared" si="5"/>
        <v>0</v>
      </c>
      <c r="J33" s="1">
        <f t="shared" si="6"/>
        <v>0</v>
      </c>
      <c r="K33" s="1">
        <f t="shared" si="7"/>
        <v>0</v>
      </c>
      <c r="L33" s="1">
        <f t="shared" si="8"/>
        <v>0</v>
      </c>
      <c r="M33" s="1">
        <f t="shared" si="9"/>
        <v>50</v>
      </c>
      <c r="N33" s="1">
        <f t="shared" si="10"/>
        <v>0</v>
      </c>
      <c r="O33" s="1">
        <f t="shared" si="11"/>
        <v>0</v>
      </c>
      <c r="P33" s="1">
        <f t="shared" si="12"/>
        <v>0</v>
      </c>
      <c r="Q33" s="1">
        <f t="shared" si="13"/>
        <v>10</v>
      </c>
      <c r="R33" s="81">
        <f t="shared" si="14"/>
        <v>60</v>
      </c>
      <c r="S33">
        <f t="shared" si="15"/>
        <v>0</v>
      </c>
      <c r="T33">
        <f t="shared" si="16"/>
        <v>60</v>
      </c>
      <c r="X33" s="79">
        <v>0</v>
      </c>
      <c r="Y33" s="79">
        <v>0</v>
      </c>
      <c r="Z33" s="79">
        <v>10</v>
      </c>
    </row>
    <row r="34" spans="1:26" ht="28.05" customHeight="1">
      <c r="B34" s="40" t="s">
        <v>103</v>
      </c>
      <c r="C34" s="47"/>
      <c r="D34" s="76"/>
      <c r="E34" s="8"/>
      <c r="F34" s="1" t="str">
        <f t="shared" si="1"/>
        <v>0</v>
      </c>
      <c r="G34" s="69">
        <f t="shared" si="3"/>
        <v>0</v>
      </c>
      <c r="H34" s="69">
        <f t="shared" si="4"/>
        <v>0</v>
      </c>
      <c r="I34" s="1">
        <f t="shared" si="5"/>
        <v>0</v>
      </c>
      <c r="J34" s="1">
        <f t="shared" si="6"/>
        <v>0</v>
      </c>
      <c r="K34" s="1">
        <f t="shared" si="7"/>
        <v>0</v>
      </c>
      <c r="L34" s="1">
        <f t="shared" si="8"/>
        <v>0</v>
      </c>
      <c r="M34" s="1">
        <f t="shared" si="9"/>
        <v>0</v>
      </c>
      <c r="N34" s="1">
        <f t="shared" si="10"/>
        <v>0</v>
      </c>
      <c r="O34" s="1">
        <f t="shared" si="11"/>
        <v>0</v>
      </c>
      <c r="P34" s="1">
        <f t="shared" si="12"/>
        <v>0</v>
      </c>
      <c r="Q34" s="1">
        <f t="shared" si="13"/>
        <v>0</v>
      </c>
      <c r="R34" s="81">
        <f t="shared" si="14"/>
        <v>0</v>
      </c>
      <c r="S34">
        <f t="shared" si="15"/>
        <v>0</v>
      </c>
      <c r="T34">
        <f t="shared" si="16"/>
        <v>0</v>
      </c>
      <c r="X34" s="79"/>
      <c r="Y34" s="79"/>
      <c r="Z34" s="79"/>
    </row>
    <row r="35" spans="1:26" ht="28.05" customHeight="1">
      <c r="B35" s="40" t="s">
        <v>103</v>
      </c>
      <c r="C35" s="47"/>
      <c r="D35" s="76"/>
      <c r="E35" s="8"/>
      <c r="F35" s="1" t="str">
        <f t="shared" si="1"/>
        <v>0</v>
      </c>
      <c r="G35" s="69">
        <f t="shared" si="3"/>
        <v>0</v>
      </c>
      <c r="H35" s="69">
        <f t="shared" si="4"/>
        <v>0</v>
      </c>
      <c r="I35" s="1">
        <f t="shared" si="5"/>
        <v>0</v>
      </c>
      <c r="J35" s="1">
        <f t="shared" si="6"/>
        <v>0</v>
      </c>
      <c r="K35" s="1">
        <f t="shared" si="7"/>
        <v>0</v>
      </c>
      <c r="L35" s="1">
        <f t="shared" si="8"/>
        <v>0</v>
      </c>
      <c r="M35" s="1">
        <f t="shared" si="9"/>
        <v>0</v>
      </c>
      <c r="N35" s="1">
        <f t="shared" si="10"/>
        <v>0</v>
      </c>
      <c r="O35" s="1">
        <f t="shared" si="11"/>
        <v>0</v>
      </c>
      <c r="P35" s="1">
        <f t="shared" si="12"/>
        <v>0</v>
      </c>
      <c r="Q35" s="1">
        <f t="shared" si="13"/>
        <v>0</v>
      </c>
      <c r="R35" s="81">
        <f t="shared" si="14"/>
        <v>0</v>
      </c>
      <c r="S35">
        <f t="shared" si="15"/>
        <v>0</v>
      </c>
      <c r="T35">
        <f t="shared" si="16"/>
        <v>0</v>
      </c>
      <c r="X35" s="79"/>
      <c r="Y35" s="79"/>
      <c r="Z35" s="79"/>
    </row>
    <row r="36" spans="1:26" ht="28.05" customHeight="1">
      <c r="B36" s="40" t="s">
        <v>103</v>
      </c>
      <c r="C36" s="47"/>
      <c r="D36" s="76"/>
      <c r="E36" s="8"/>
      <c r="F36" s="1" t="str">
        <f t="shared" si="1"/>
        <v>0</v>
      </c>
      <c r="G36" s="69">
        <f t="shared" si="3"/>
        <v>0</v>
      </c>
      <c r="H36" s="69">
        <f t="shared" si="4"/>
        <v>0</v>
      </c>
      <c r="I36" s="1">
        <f t="shared" si="5"/>
        <v>0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N36" s="1">
        <f t="shared" si="10"/>
        <v>0</v>
      </c>
      <c r="O36" s="1">
        <f t="shared" si="11"/>
        <v>0</v>
      </c>
      <c r="P36" s="1">
        <f t="shared" si="12"/>
        <v>0</v>
      </c>
      <c r="Q36" s="1">
        <f t="shared" si="13"/>
        <v>0</v>
      </c>
      <c r="R36" s="81">
        <f t="shared" si="14"/>
        <v>0</v>
      </c>
      <c r="S36">
        <f t="shared" si="15"/>
        <v>0</v>
      </c>
      <c r="T36">
        <f t="shared" si="16"/>
        <v>0</v>
      </c>
      <c r="X36" s="79"/>
      <c r="Y36" s="79"/>
      <c r="Z36" s="79"/>
    </row>
    <row r="37" spans="1:26" ht="28.05" customHeight="1">
      <c r="B37" s="40" t="s">
        <v>103</v>
      </c>
      <c r="C37" s="47"/>
      <c r="D37" s="76"/>
      <c r="E37" s="8"/>
      <c r="F37" s="1" t="str">
        <f t="shared" si="1"/>
        <v>0</v>
      </c>
      <c r="G37" s="69">
        <f t="shared" si="3"/>
        <v>0</v>
      </c>
      <c r="H37" s="69">
        <f t="shared" si="4"/>
        <v>0</v>
      </c>
      <c r="I37" s="1">
        <f t="shared" si="5"/>
        <v>0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N37" s="1">
        <f t="shared" si="10"/>
        <v>0</v>
      </c>
      <c r="O37" s="1">
        <f t="shared" si="11"/>
        <v>0</v>
      </c>
      <c r="P37" s="1">
        <f t="shared" si="12"/>
        <v>0</v>
      </c>
      <c r="Q37" s="1">
        <f t="shared" si="13"/>
        <v>0</v>
      </c>
      <c r="R37" s="81">
        <f t="shared" si="14"/>
        <v>0</v>
      </c>
      <c r="S37">
        <f t="shared" si="15"/>
        <v>0</v>
      </c>
      <c r="T37">
        <f t="shared" si="16"/>
        <v>0</v>
      </c>
      <c r="X37" s="79"/>
      <c r="Y37" s="79"/>
      <c r="Z37" s="79"/>
    </row>
    <row r="38" spans="1:26" ht="28.05" customHeight="1">
      <c r="B38" s="40" t="s">
        <v>103</v>
      </c>
      <c r="C38" s="47"/>
      <c r="D38" s="76"/>
      <c r="E38" s="8"/>
      <c r="F38" s="1" t="str">
        <f t="shared" si="1"/>
        <v>0</v>
      </c>
      <c r="G38" s="69">
        <f t="shared" si="3"/>
        <v>0</v>
      </c>
      <c r="H38" s="69">
        <f t="shared" si="4"/>
        <v>0</v>
      </c>
      <c r="I38" s="1">
        <f t="shared" si="5"/>
        <v>0</v>
      </c>
      <c r="J38" s="1">
        <f t="shared" si="6"/>
        <v>0</v>
      </c>
      <c r="K38" s="1">
        <f t="shared" si="7"/>
        <v>0</v>
      </c>
      <c r="L38" s="1">
        <f t="shared" si="8"/>
        <v>0</v>
      </c>
      <c r="M38" s="1">
        <f t="shared" si="9"/>
        <v>0</v>
      </c>
      <c r="N38" s="1">
        <f t="shared" si="10"/>
        <v>0</v>
      </c>
      <c r="O38" s="1">
        <f t="shared" si="11"/>
        <v>0</v>
      </c>
      <c r="P38" s="1">
        <f t="shared" si="12"/>
        <v>0</v>
      </c>
      <c r="Q38" s="1">
        <f t="shared" si="13"/>
        <v>0</v>
      </c>
      <c r="R38" s="81">
        <f t="shared" si="14"/>
        <v>0</v>
      </c>
      <c r="S38">
        <f t="shared" si="15"/>
        <v>0</v>
      </c>
      <c r="T38">
        <f t="shared" si="16"/>
        <v>0</v>
      </c>
      <c r="X38" s="79"/>
      <c r="Y38" s="79"/>
      <c r="Z38" s="79"/>
    </row>
    <row r="39" spans="1:26" ht="28.05" customHeight="1">
      <c r="B39" s="40" t="s">
        <v>103</v>
      </c>
      <c r="C39" s="47"/>
      <c r="D39" s="76"/>
      <c r="E39" s="8"/>
      <c r="F39" s="1" t="str">
        <f t="shared" si="1"/>
        <v>0</v>
      </c>
      <c r="G39" s="69">
        <f t="shared" si="3"/>
        <v>0</v>
      </c>
      <c r="H39" s="69">
        <f t="shared" si="4"/>
        <v>0</v>
      </c>
      <c r="I39" s="1">
        <f t="shared" si="5"/>
        <v>0</v>
      </c>
      <c r="J39" s="1">
        <f t="shared" si="6"/>
        <v>0</v>
      </c>
      <c r="K39" s="1">
        <f t="shared" si="7"/>
        <v>0</v>
      </c>
      <c r="L39" s="1">
        <f t="shared" si="8"/>
        <v>0</v>
      </c>
      <c r="M39" s="1">
        <f t="shared" si="9"/>
        <v>0</v>
      </c>
      <c r="N39" s="1">
        <f t="shared" si="10"/>
        <v>0</v>
      </c>
      <c r="O39" s="1">
        <f t="shared" si="11"/>
        <v>0</v>
      </c>
      <c r="P39" s="1">
        <f t="shared" si="12"/>
        <v>0</v>
      </c>
      <c r="Q39" s="1">
        <f t="shared" si="13"/>
        <v>0</v>
      </c>
      <c r="R39" s="81">
        <f t="shared" si="14"/>
        <v>0</v>
      </c>
      <c r="S39">
        <f t="shared" si="15"/>
        <v>0</v>
      </c>
      <c r="T39">
        <f t="shared" si="16"/>
        <v>0</v>
      </c>
      <c r="X39" s="79"/>
      <c r="Y39" s="79"/>
      <c r="Z39" s="79"/>
    </row>
    <row r="40" spans="1:26" ht="28.05" customHeight="1">
      <c r="B40" s="40" t="s">
        <v>103</v>
      </c>
      <c r="C40" s="47"/>
      <c r="D40" s="76"/>
      <c r="E40" s="8"/>
      <c r="F40" s="1" t="str">
        <f t="shared" si="1"/>
        <v>0</v>
      </c>
      <c r="G40" s="69">
        <f t="shared" si="3"/>
        <v>0</v>
      </c>
      <c r="H40" s="69">
        <f t="shared" si="4"/>
        <v>0</v>
      </c>
      <c r="I40" s="1">
        <f t="shared" si="5"/>
        <v>0</v>
      </c>
      <c r="J40" s="1">
        <f t="shared" si="6"/>
        <v>0</v>
      </c>
      <c r="K40" s="1">
        <f t="shared" si="7"/>
        <v>0</v>
      </c>
      <c r="L40" s="1">
        <f t="shared" si="8"/>
        <v>0</v>
      </c>
      <c r="M40" s="1">
        <f t="shared" si="9"/>
        <v>0</v>
      </c>
      <c r="N40" s="1">
        <f t="shared" si="10"/>
        <v>0</v>
      </c>
      <c r="O40" s="1">
        <f t="shared" si="11"/>
        <v>0</v>
      </c>
      <c r="P40" s="1">
        <f t="shared" si="12"/>
        <v>0</v>
      </c>
      <c r="Q40" s="1">
        <f t="shared" si="13"/>
        <v>0</v>
      </c>
      <c r="R40" s="81">
        <f t="shared" si="14"/>
        <v>0</v>
      </c>
      <c r="S40">
        <f t="shared" si="15"/>
        <v>0</v>
      </c>
      <c r="T40">
        <f t="shared" si="16"/>
        <v>0</v>
      </c>
      <c r="X40" s="79"/>
      <c r="Y40" s="79"/>
      <c r="Z40" s="79"/>
    </row>
    <row r="41" spans="1:26" ht="28.05" customHeight="1">
      <c r="B41" s="40" t="s">
        <v>103</v>
      </c>
      <c r="C41" s="47"/>
      <c r="D41" s="76"/>
      <c r="E41" s="8"/>
      <c r="F41" s="1" t="str">
        <f t="shared" si="1"/>
        <v>0</v>
      </c>
      <c r="G41" s="69">
        <f t="shared" si="3"/>
        <v>0</v>
      </c>
      <c r="H41" s="69">
        <f t="shared" si="4"/>
        <v>0</v>
      </c>
      <c r="I41" s="1">
        <f t="shared" si="5"/>
        <v>0</v>
      </c>
      <c r="J41" s="1">
        <f t="shared" si="6"/>
        <v>0</v>
      </c>
      <c r="K41" s="1">
        <f t="shared" si="7"/>
        <v>0</v>
      </c>
      <c r="L41" s="1">
        <f t="shared" si="8"/>
        <v>0</v>
      </c>
      <c r="M41" s="1">
        <f t="shared" si="9"/>
        <v>0</v>
      </c>
      <c r="N41" s="1">
        <f t="shared" si="10"/>
        <v>0</v>
      </c>
      <c r="O41" s="1">
        <f t="shared" si="11"/>
        <v>0</v>
      </c>
      <c r="P41" s="1">
        <f t="shared" si="12"/>
        <v>0</v>
      </c>
      <c r="Q41" s="1">
        <f t="shared" si="13"/>
        <v>0</v>
      </c>
      <c r="R41" s="81">
        <f t="shared" si="14"/>
        <v>0</v>
      </c>
      <c r="S41">
        <f t="shared" si="15"/>
        <v>0</v>
      </c>
      <c r="T41">
        <f t="shared" si="16"/>
        <v>0</v>
      </c>
      <c r="X41" s="79"/>
      <c r="Y41" s="79"/>
      <c r="Z41" s="79"/>
    </row>
    <row r="42" spans="1:26" ht="28.05" customHeight="1">
      <c r="B42" s="40" t="s">
        <v>103</v>
      </c>
      <c r="C42" s="47"/>
      <c r="D42" s="76"/>
      <c r="E42" s="8"/>
      <c r="F42" s="1" t="str">
        <f t="shared" si="1"/>
        <v>0</v>
      </c>
      <c r="G42" s="69">
        <f t="shared" si="3"/>
        <v>0</v>
      </c>
      <c r="H42" s="69">
        <f t="shared" si="4"/>
        <v>0</v>
      </c>
      <c r="I42" s="1">
        <f t="shared" si="5"/>
        <v>0</v>
      </c>
      <c r="J42" s="1">
        <f t="shared" si="6"/>
        <v>0</v>
      </c>
      <c r="K42" s="1">
        <f t="shared" si="7"/>
        <v>0</v>
      </c>
      <c r="L42" s="1">
        <f t="shared" si="8"/>
        <v>0</v>
      </c>
      <c r="M42" s="1">
        <f t="shared" si="9"/>
        <v>0</v>
      </c>
      <c r="N42" s="1">
        <f t="shared" si="10"/>
        <v>0</v>
      </c>
      <c r="O42" s="1">
        <f t="shared" si="11"/>
        <v>0</v>
      </c>
      <c r="P42" s="1">
        <f t="shared" si="12"/>
        <v>0</v>
      </c>
      <c r="Q42" s="1">
        <f t="shared" si="13"/>
        <v>0</v>
      </c>
      <c r="R42" s="81">
        <f t="shared" si="14"/>
        <v>0</v>
      </c>
      <c r="S42">
        <f t="shared" si="15"/>
        <v>0</v>
      </c>
      <c r="T42">
        <f t="shared" si="16"/>
        <v>0</v>
      </c>
      <c r="X42" s="79"/>
      <c r="Y42" s="79"/>
      <c r="Z42" s="79"/>
    </row>
    <row r="43" spans="1:26" ht="28.05" customHeight="1">
      <c r="B43" s="40" t="s">
        <v>103</v>
      </c>
      <c r="C43" s="47"/>
      <c r="D43" s="76"/>
      <c r="E43" s="8"/>
      <c r="F43" s="1" t="str">
        <f t="shared" si="1"/>
        <v>0</v>
      </c>
      <c r="G43" s="69">
        <f t="shared" si="3"/>
        <v>0</v>
      </c>
      <c r="H43" s="69">
        <f t="shared" si="4"/>
        <v>0</v>
      </c>
      <c r="I43" s="1">
        <f t="shared" si="5"/>
        <v>0</v>
      </c>
      <c r="J43" s="1">
        <f t="shared" si="6"/>
        <v>0</v>
      </c>
      <c r="K43" s="1">
        <f t="shared" si="7"/>
        <v>0</v>
      </c>
      <c r="L43" s="1">
        <f t="shared" si="8"/>
        <v>0</v>
      </c>
      <c r="M43" s="1">
        <f t="shared" si="9"/>
        <v>0</v>
      </c>
      <c r="N43" s="1">
        <f t="shared" si="10"/>
        <v>0</v>
      </c>
      <c r="O43" s="1">
        <f t="shared" si="11"/>
        <v>0</v>
      </c>
      <c r="P43" s="1">
        <f t="shared" si="12"/>
        <v>0</v>
      </c>
      <c r="Q43" s="1">
        <f t="shared" si="13"/>
        <v>0</v>
      </c>
      <c r="R43" s="81">
        <f t="shared" si="14"/>
        <v>0</v>
      </c>
      <c r="S43">
        <f t="shared" si="15"/>
        <v>0</v>
      </c>
      <c r="T43">
        <f t="shared" si="16"/>
        <v>0</v>
      </c>
    </row>
    <row r="44" spans="1:26" ht="28.05" customHeight="1">
      <c r="B44" s="40" t="s">
        <v>103</v>
      </c>
      <c r="C44" s="47"/>
      <c r="D44" s="76"/>
      <c r="E44" s="8"/>
      <c r="F44" s="1" t="str">
        <f t="shared" si="1"/>
        <v>0</v>
      </c>
      <c r="G44" s="69">
        <f t="shared" si="3"/>
        <v>0</v>
      </c>
      <c r="H44" s="69">
        <f t="shared" si="4"/>
        <v>0</v>
      </c>
      <c r="I44" s="1">
        <f t="shared" si="5"/>
        <v>0</v>
      </c>
      <c r="J44" s="1">
        <f t="shared" si="6"/>
        <v>0</v>
      </c>
      <c r="K44" s="1">
        <f t="shared" si="7"/>
        <v>0</v>
      </c>
      <c r="L44" s="1">
        <f t="shared" si="8"/>
        <v>0</v>
      </c>
      <c r="M44" s="1">
        <f t="shared" si="9"/>
        <v>0</v>
      </c>
      <c r="N44" s="1">
        <f t="shared" si="10"/>
        <v>0</v>
      </c>
      <c r="O44" s="1">
        <f t="shared" si="11"/>
        <v>0</v>
      </c>
      <c r="P44" s="1">
        <f t="shared" si="12"/>
        <v>0</v>
      </c>
      <c r="Q44" s="1">
        <f t="shared" si="13"/>
        <v>0</v>
      </c>
      <c r="R44" s="81">
        <f t="shared" si="14"/>
        <v>0</v>
      </c>
      <c r="S44">
        <f t="shared" si="15"/>
        <v>0</v>
      </c>
      <c r="T44">
        <f t="shared" si="16"/>
        <v>0</v>
      </c>
    </row>
  </sheetData>
  <mergeCells count="4">
    <mergeCell ref="R1:S2"/>
    <mergeCell ref="U1:V1"/>
    <mergeCell ref="X1:AE1"/>
    <mergeCell ref="B4:C4"/>
  </mergeCells>
  <conditionalFormatting sqref="V6:V15">
    <cfRule type="aboveAverage" dxfId="5" priority="1" aboveAverage="0"/>
    <cfRule type="aboveAverage" dxfId="4" priority="2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90BD7-8B94-4ADD-B72C-A5C52AD955D8}">
  <sheetPr codeName="Hoja6"/>
  <dimension ref="A1:AN44"/>
  <sheetViews>
    <sheetView showGridLines="0" zoomScale="85" zoomScaleNormal="85" workbookViewId="0">
      <pane ySplit="5" topLeftCell="A6" activePane="bottomLeft" state="frozen"/>
      <selection pane="bottomLeft" activeCell="C10" sqref="C10"/>
    </sheetView>
  </sheetViews>
  <sheetFormatPr baseColWidth="10" defaultRowHeight="14.4"/>
  <cols>
    <col min="1" max="1" width="0.6640625" customWidth="1"/>
    <col min="2" max="2" width="8.5546875" style="2" customWidth="1"/>
    <col min="3" max="3" width="12.77734375" style="2" customWidth="1"/>
    <col min="4" max="4" width="25.21875" customWidth="1"/>
    <col min="5" max="5" width="14.88671875" style="2" customWidth="1"/>
    <col min="6" max="6" width="7.21875" hidden="1" customWidth="1"/>
    <col min="7" max="7" width="16.5546875" hidden="1" customWidth="1"/>
    <col min="8" max="8" width="8.77734375" hidden="1" customWidth="1"/>
    <col min="9" max="9" width="7.5546875" hidden="1" customWidth="1"/>
    <col min="10" max="11" width="9.33203125" hidden="1" customWidth="1"/>
    <col min="12" max="13" width="8.77734375" hidden="1" customWidth="1"/>
    <col min="14" max="14" width="15.77734375" hidden="1" customWidth="1"/>
    <col min="15" max="15" width="14.21875" hidden="1" customWidth="1"/>
    <col min="16" max="16" width="11.44140625" hidden="1" customWidth="1"/>
    <col min="17" max="17" width="5.33203125" hidden="1" customWidth="1"/>
    <col min="18" max="18" width="18.21875" style="56" customWidth="1"/>
    <col min="19" max="19" width="11.44140625" hidden="1" customWidth="1"/>
    <col min="20" max="20" width="11.88671875" hidden="1" customWidth="1"/>
    <col min="21" max="21" width="19.44140625" style="2" customWidth="1"/>
    <col min="22" max="22" width="20.21875" customWidth="1"/>
    <col min="23" max="23" width="0.88671875" customWidth="1"/>
    <col min="35" max="35" width="15.5546875" customWidth="1"/>
    <col min="38" max="38" width="16" customWidth="1"/>
    <col min="40" max="40" width="22.77734375" customWidth="1"/>
  </cols>
  <sheetData>
    <row r="1" spans="1:40" s="2" customFormat="1" ht="25.8">
      <c r="C1" s="49" t="s">
        <v>67</v>
      </c>
      <c r="D1" s="48" t="s">
        <v>96</v>
      </c>
      <c r="E1" s="48" t="s">
        <v>80</v>
      </c>
      <c r="R1" s="85"/>
      <c r="S1" s="85"/>
      <c r="T1" s="44"/>
      <c r="U1" s="86" t="s">
        <v>81</v>
      </c>
      <c r="V1" s="86"/>
      <c r="X1" s="86" t="s">
        <v>82</v>
      </c>
      <c r="Y1" s="86"/>
      <c r="Z1" s="86"/>
      <c r="AA1" s="86"/>
      <c r="AB1" s="86"/>
      <c r="AC1" s="86"/>
      <c r="AD1" s="86"/>
      <c r="AE1" s="86"/>
    </row>
    <row r="2" spans="1:40" s="43" customFormat="1" ht="28.5" customHeight="1" thickBot="1">
      <c r="C2" s="68">
        <v>72480</v>
      </c>
      <c r="D2" s="70">
        <v>40014</v>
      </c>
      <c r="E2" s="71">
        <v>11840</v>
      </c>
      <c r="R2" s="85"/>
      <c r="S2" s="85"/>
      <c r="T2" s="44"/>
      <c r="U2" s="72">
        <v>77768</v>
      </c>
      <c r="V2" s="72">
        <v>48020</v>
      </c>
      <c r="W2" s="65"/>
      <c r="X2" s="72">
        <v>37876</v>
      </c>
      <c r="Y2" s="72">
        <v>74778</v>
      </c>
      <c r="Z2" s="72">
        <v>72853</v>
      </c>
      <c r="AA2" s="72">
        <v>45456</v>
      </c>
      <c r="AB2" s="72">
        <v>45225</v>
      </c>
      <c r="AC2" s="72">
        <v>97345</v>
      </c>
      <c r="AD2" s="72">
        <v>75143</v>
      </c>
      <c r="AE2" s="72">
        <v>60622</v>
      </c>
    </row>
    <row r="3" spans="1:40" ht="36.6" customHeight="1" thickBot="1">
      <c r="E3" s="53" t="s">
        <v>90</v>
      </c>
      <c r="U3" s="75" t="s">
        <v>126</v>
      </c>
      <c r="V3" s="52"/>
      <c r="AI3" s="33" t="s">
        <v>68</v>
      </c>
      <c r="AJ3" s="14" t="s">
        <v>40</v>
      </c>
      <c r="AK3" s="14" t="s">
        <v>56</v>
      </c>
      <c r="AL3" s="14" t="s">
        <v>41</v>
      </c>
      <c r="AM3" s="14" t="s">
        <v>42</v>
      </c>
      <c r="AN3" s="73" t="s">
        <v>107</v>
      </c>
    </row>
    <row r="4" spans="1:40" ht="46.5" customHeight="1" thickBot="1">
      <c r="A4" s="51"/>
      <c r="B4" s="87" t="s">
        <v>93</v>
      </c>
      <c r="C4" s="88"/>
      <c r="D4" s="50" t="s">
        <v>91</v>
      </c>
      <c r="E4" s="51">
        <f>SUM(E6:E44)</f>
        <v>339.66666666666669</v>
      </c>
      <c r="G4" s="12" t="s">
        <v>67</v>
      </c>
      <c r="H4" s="12" t="s">
        <v>69</v>
      </c>
      <c r="I4" s="12" t="s">
        <v>70</v>
      </c>
      <c r="J4" s="32" t="s">
        <v>71</v>
      </c>
      <c r="K4" s="12" t="s">
        <v>72</v>
      </c>
      <c r="L4" s="12" t="s">
        <v>73</v>
      </c>
      <c r="M4" s="12" t="s">
        <v>55</v>
      </c>
      <c r="N4" s="12" t="s">
        <v>75</v>
      </c>
      <c r="O4" s="39" t="s">
        <v>76</v>
      </c>
      <c r="P4" s="39" t="s">
        <v>77</v>
      </c>
      <c r="Q4" s="12" t="s">
        <v>78</v>
      </c>
      <c r="R4" s="57" t="s">
        <v>79</v>
      </c>
      <c r="S4" s="54"/>
      <c r="T4" s="54"/>
      <c r="U4" s="55">
        <f>SUM(R6:R44)</f>
        <v>46</v>
      </c>
      <c r="V4" s="55"/>
      <c r="X4" s="78">
        <f>SUM(X6:X44)</f>
        <v>283.65999999999997</v>
      </c>
      <c r="Y4" s="78">
        <f>SUM(Y6:Y44)</f>
        <v>46</v>
      </c>
      <c r="Z4" s="78">
        <f>SUM(Z6:Z44)</f>
        <v>56</v>
      </c>
      <c r="AA4" s="78">
        <f>X4-Y4+Z4</f>
        <v>293.65999999999997</v>
      </c>
      <c r="AI4" s="2">
        <f>IF(C2="",0,C2)</f>
        <v>72480</v>
      </c>
      <c r="AJ4" s="15" t="s">
        <v>43</v>
      </c>
      <c r="AK4" s="16">
        <v>1</v>
      </c>
      <c r="AL4" s="17">
        <v>4000000</v>
      </c>
      <c r="AM4" s="17">
        <v>20000</v>
      </c>
      <c r="AN4" s="74">
        <f>(40000+(AL4/10-40000)-(AL4/10-40000)*20%)/20</f>
        <v>16400</v>
      </c>
    </row>
    <row r="5" spans="1:40" ht="29.4" thickBot="1">
      <c r="B5" s="60" t="s">
        <v>55</v>
      </c>
      <c r="C5" s="3" t="s">
        <v>0</v>
      </c>
      <c r="D5" s="3" t="s">
        <v>1</v>
      </c>
      <c r="E5" s="77" t="s">
        <v>121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58"/>
      <c r="S5" t="s">
        <v>85</v>
      </c>
      <c r="U5" s="4" t="s">
        <v>16</v>
      </c>
      <c r="V5" s="4" t="s">
        <v>11</v>
      </c>
      <c r="W5" s="41"/>
      <c r="X5" s="80" t="s">
        <v>120</v>
      </c>
      <c r="Y5" s="80" t="s">
        <v>122</v>
      </c>
      <c r="Z5" s="80" t="s">
        <v>123</v>
      </c>
      <c r="AI5" s="2">
        <f>IF(D2="",0,D2)</f>
        <v>40014</v>
      </c>
      <c r="AJ5" s="15" t="s">
        <v>44</v>
      </c>
      <c r="AK5" s="16">
        <v>1</v>
      </c>
      <c r="AL5" s="17">
        <v>1250000</v>
      </c>
      <c r="AM5" s="17">
        <v>6250</v>
      </c>
      <c r="AN5" s="74">
        <f t="shared" ref="AN5:AN6" si="0">(40000+(AL5/10-40000)-(AL5/10-40000)*20%)/20</f>
        <v>5400</v>
      </c>
    </row>
    <row r="6" spans="1:40" ht="28.05" customHeight="1" thickBot="1">
      <c r="B6" s="40" t="s">
        <v>89</v>
      </c>
      <c r="C6" s="47">
        <v>44180</v>
      </c>
      <c r="D6" s="76" t="s">
        <v>106</v>
      </c>
      <c r="E6" s="8">
        <v>5</v>
      </c>
      <c r="F6" s="1" t="str">
        <f t="shared" ref="F6:F44" si="1">RIGHT(TEXT(C6,0),1)</f>
        <v>0</v>
      </c>
      <c r="G6" s="69">
        <f>IF(C6=$AI$4,$AM$4*E6,0)</f>
        <v>0</v>
      </c>
      <c r="H6" s="69">
        <f>IF(C6=$AI$5,$AM$5*E6,0)</f>
        <v>0</v>
      </c>
      <c r="I6" s="1">
        <f>IF(C6=$AI$6,$AM$6*E6,0)</f>
        <v>0</v>
      </c>
      <c r="J6" s="1">
        <f>IF(C6=$AI$7,$AM$7*E6,0)</f>
        <v>0</v>
      </c>
      <c r="K6" s="1">
        <f>IF(C6=$AI$8,$AM$8*E6,0)</f>
        <v>0</v>
      </c>
      <c r="L6" s="1">
        <f>IF(COUNTIF($AI$9:$AI$16,C6),E6*$AM$9,0)</f>
        <v>0</v>
      </c>
      <c r="M6" s="1">
        <f>IF(B6="SI",E6*$AM$17,0)</f>
        <v>0</v>
      </c>
      <c r="N6" s="1">
        <f>IFERROR(INDEX($AI$18:$AM$23,MATCH(C6,$AI$18:$AI$23,0),5)*E6,0)</f>
        <v>0</v>
      </c>
      <c r="O6" s="1">
        <f>IF(C6&lt;&gt;$C$2,IFERROR(INDEX($AI$24:$AM$28,MATCH(LEFT(C6,3),$AI$24:$AI$28,0),5)*E6,0),0)</f>
        <v>0</v>
      </c>
      <c r="P6" s="1">
        <f>IF(C6&lt;&gt;$C$2,IF(C6&lt;&gt;$D$2,IFERROR(INDEX($AI$29:$AM$31,MATCH(RIGHT(C6,2),$AI$29:$AI$31,0),5)*E6,0)))</f>
        <v>25</v>
      </c>
      <c r="Q6" s="1">
        <f>IF(C6&lt;&gt;$C$2,IFERROR(INDEX($AI$32:$AM$32,MATCH(RIGHT(C6,1),$AI$32:$AI$32,0),5)*E6,0),0)</f>
        <v>5</v>
      </c>
      <c r="R6" s="81">
        <f>SUM(G6:Q6)</f>
        <v>30</v>
      </c>
      <c r="S6">
        <f>IF(R6&gt;40000,((R6-40000)*20%),0)</f>
        <v>0</v>
      </c>
      <c r="T6">
        <f>R6-S6</f>
        <v>30</v>
      </c>
      <c r="U6" s="45">
        <v>0</v>
      </c>
      <c r="V6" s="46">
        <f t="shared" ref="V6:V15" si="2">SUMIF($F$6:$F$44,U6,$E$6:$E$45)</f>
        <v>7</v>
      </c>
      <c r="W6" s="42"/>
      <c r="X6" s="79">
        <v>0</v>
      </c>
      <c r="Y6" s="79">
        <v>0</v>
      </c>
      <c r="Z6" s="79">
        <v>5</v>
      </c>
      <c r="AI6" s="2">
        <f>IF(E2="",0,E2)</f>
        <v>11840</v>
      </c>
      <c r="AJ6" s="15" t="s">
        <v>45</v>
      </c>
      <c r="AK6" s="16">
        <v>1</v>
      </c>
      <c r="AL6" s="17">
        <v>500000</v>
      </c>
      <c r="AM6" s="17">
        <v>2500</v>
      </c>
      <c r="AN6" s="74">
        <f t="shared" si="0"/>
        <v>2400</v>
      </c>
    </row>
    <row r="7" spans="1:40" ht="28.05" customHeight="1" thickBot="1">
      <c r="B7" s="40" t="s">
        <v>103</v>
      </c>
      <c r="C7" s="47">
        <v>40877</v>
      </c>
      <c r="D7" s="76" t="s">
        <v>109</v>
      </c>
      <c r="E7" s="8">
        <v>5</v>
      </c>
      <c r="F7" s="1" t="str">
        <f t="shared" ref="F7" si="3">RIGHT(TEXT(C7,0),1)</f>
        <v>7</v>
      </c>
      <c r="G7" s="69">
        <f t="shared" ref="G7:G44" si="4">IF(C7=$AI$4,$AM$4*E7,0)</f>
        <v>0</v>
      </c>
      <c r="H7" s="69">
        <f t="shared" ref="H7:H44" si="5">IF(C7=$AI$5,$AM$5*E7,0)</f>
        <v>0</v>
      </c>
      <c r="I7" s="1">
        <f t="shared" ref="I7:I44" si="6">IF(C7=$AI$6,$AM$6*E7,0)</f>
        <v>0</v>
      </c>
      <c r="J7" s="1">
        <f t="shared" ref="J7:J44" si="7">IF(C7=$AI$7,$AM$7*E7,0)</f>
        <v>0</v>
      </c>
      <c r="K7" s="1">
        <f t="shared" ref="K7:K44" si="8">IF(C7=$AI$8,$AM$8*E7,0)</f>
        <v>0</v>
      </c>
      <c r="L7" s="1">
        <f t="shared" ref="L7:L44" si="9">IF(COUNTIF($AI$9:$AI$16,C7),E7*$AM$9,0)</f>
        <v>0</v>
      </c>
      <c r="M7" s="1">
        <f t="shared" ref="M7:M44" si="10">IF(B7="SI",E7*$AM$17,0)</f>
        <v>0</v>
      </c>
      <c r="N7" s="1">
        <f t="shared" ref="N7:N44" si="11">IFERROR(INDEX($AI$18:$AM$23,MATCH(C7,$AI$18:$AI$23,0),5)*E7,0)</f>
        <v>0</v>
      </c>
      <c r="O7" s="1">
        <f t="shared" ref="O7:O44" si="12">IF(C7&lt;&gt;$C$2,IFERROR(INDEX($AI$24:$AM$28,MATCH(LEFT(C7,3),$AI$24:$AI$28,0),5)*E7,0),0)</f>
        <v>0</v>
      </c>
      <c r="P7" s="1">
        <f t="shared" ref="P7:P44" si="13">IF(C7&lt;&gt;$C$2,IF(C7&lt;&gt;$D$2,IFERROR(INDEX($AI$29:$AM$31,MATCH(RIGHT(C7,2),$AI$29:$AI$31,0),5)*E7,0)))</f>
        <v>0</v>
      </c>
      <c r="Q7" s="1">
        <f t="shared" ref="Q7:Q44" si="14">IF(C7&lt;&gt;$C$2,IFERROR(INDEX($AI$32:$AM$32,MATCH(RIGHT(C7,1),$AI$32:$AI$32,0),5)*E7,0),0)</f>
        <v>0</v>
      </c>
      <c r="R7" s="81">
        <f t="shared" ref="R7:R8" si="15">SUM(G7:Q7)</f>
        <v>0</v>
      </c>
      <c r="S7">
        <f>IF(R7&gt;40000,((R7-40000)*20%),0)</f>
        <v>0</v>
      </c>
      <c r="T7">
        <f>R7-S7</f>
        <v>0</v>
      </c>
      <c r="U7" s="45">
        <v>1</v>
      </c>
      <c r="V7" s="46">
        <f t="shared" si="2"/>
        <v>20</v>
      </c>
      <c r="W7" s="42"/>
      <c r="X7" s="79">
        <v>0</v>
      </c>
      <c r="Y7" s="79">
        <v>0</v>
      </c>
      <c r="Z7" s="79">
        <v>5</v>
      </c>
      <c r="AI7" s="66">
        <f>U2</f>
        <v>77768</v>
      </c>
      <c r="AJ7" s="35" t="s">
        <v>46</v>
      </c>
      <c r="AK7" s="36">
        <v>1</v>
      </c>
      <c r="AL7" s="37">
        <v>200000</v>
      </c>
      <c r="AM7" s="37">
        <v>1000</v>
      </c>
      <c r="AN7" s="74">
        <v>1000</v>
      </c>
    </row>
    <row r="8" spans="1:40" ht="28.05" customHeight="1" thickBot="1">
      <c r="B8" s="40" t="s">
        <v>103</v>
      </c>
      <c r="C8" s="47">
        <v>40668</v>
      </c>
      <c r="D8" s="76" t="s">
        <v>111</v>
      </c>
      <c r="E8" s="8">
        <v>5</v>
      </c>
      <c r="F8" s="1" t="str">
        <f>RIGHT(TEXT(C10,0),1)</f>
        <v>8</v>
      </c>
      <c r="G8" s="69">
        <f t="shared" si="4"/>
        <v>0</v>
      </c>
      <c r="H8" s="69">
        <f t="shared" si="5"/>
        <v>0</v>
      </c>
      <c r="I8" s="1">
        <f t="shared" si="6"/>
        <v>0</v>
      </c>
      <c r="J8" s="1">
        <f t="shared" si="7"/>
        <v>0</v>
      </c>
      <c r="K8" s="1">
        <f t="shared" si="8"/>
        <v>0</v>
      </c>
      <c r="L8" s="1">
        <f t="shared" si="9"/>
        <v>0</v>
      </c>
      <c r="M8" s="1">
        <f t="shared" si="10"/>
        <v>0</v>
      </c>
      <c r="N8" s="1">
        <f t="shared" si="11"/>
        <v>0</v>
      </c>
      <c r="O8" s="1">
        <f t="shared" si="12"/>
        <v>0</v>
      </c>
      <c r="P8" s="1">
        <f t="shared" si="13"/>
        <v>0</v>
      </c>
      <c r="Q8" s="1">
        <f t="shared" si="14"/>
        <v>0</v>
      </c>
      <c r="R8" s="81">
        <f t="shared" si="15"/>
        <v>0</v>
      </c>
      <c r="S8">
        <f t="shared" ref="S8:S44" si="16">IF(R8&gt;40000,((R8-40000)*20%),0)</f>
        <v>0</v>
      </c>
      <c r="T8">
        <f t="shared" ref="T8:T44" si="17">R8-S8</f>
        <v>0</v>
      </c>
      <c r="U8" s="45">
        <v>2</v>
      </c>
      <c r="V8" s="46">
        <f t="shared" si="2"/>
        <v>69</v>
      </c>
      <c r="W8" s="42"/>
      <c r="X8" s="79">
        <v>0</v>
      </c>
      <c r="Y8" s="79">
        <v>0</v>
      </c>
      <c r="Z8" s="79">
        <v>5</v>
      </c>
      <c r="AI8" s="66">
        <f>V2</f>
        <v>48020</v>
      </c>
      <c r="AJ8" s="35" t="s">
        <v>46</v>
      </c>
      <c r="AK8" s="36">
        <v>2</v>
      </c>
      <c r="AL8" s="37">
        <v>200000</v>
      </c>
      <c r="AM8" s="37">
        <v>1000</v>
      </c>
      <c r="AN8" s="74">
        <f t="shared" ref="AN8:AN32" si="18">AM8</f>
        <v>1000</v>
      </c>
    </row>
    <row r="9" spans="1:40" ht="28.05" customHeight="1" thickBot="1">
      <c r="B9" s="40" t="s">
        <v>103</v>
      </c>
      <c r="C9" s="47">
        <v>55917</v>
      </c>
      <c r="D9" s="76" t="s">
        <v>97</v>
      </c>
      <c r="E9" s="8">
        <v>20</v>
      </c>
      <c r="F9" s="1" t="str">
        <f>RIGHT(TEXT(C8,0),1)</f>
        <v>8</v>
      </c>
      <c r="G9" s="69">
        <f t="shared" si="4"/>
        <v>0</v>
      </c>
      <c r="H9" s="69">
        <f t="shared" si="5"/>
        <v>0</v>
      </c>
      <c r="I9" s="1">
        <f t="shared" si="6"/>
        <v>0</v>
      </c>
      <c r="J9" s="1">
        <f t="shared" si="7"/>
        <v>0</v>
      </c>
      <c r="K9" s="1">
        <f t="shared" si="8"/>
        <v>0</v>
      </c>
      <c r="L9" s="1">
        <f t="shared" si="9"/>
        <v>0</v>
      </c>
      <c r="M9" s="1">
        <f t="shared" si="10"/>
        <v>0</v>
      </c>
      <c r="N9" s="1">
        <f t="shared" si="11"/>
        <v>0</v>
      </c>
      <c r="O9" s="1">
        <f t="shared" si="12"/>
        <v>0</v>
      </c>
      <c r="P9" s="1">
        <f t="shared" si="13"/>
        <v>0</v>
      </c>
      <c r="Q9" s="1">
        <f t="shared" si="14"/>
        <v>0</v>
      </c>
      <c r="R9" s="81">
        <f t="shared" ref="R9:R44" si="19">SUM(G9:Q9)</f>
        <v>0</v>
      </c>
      <c r="S9">
        <f t="shared" si="16"/>
        <v>0</v>
      </c>
      <c r="T9">
        <f t="shared" si="17"/>
        <v>0</v>
      </c>
      <c r="U9" s="45">
        <v>3</v>
      </c>
      <c r="V9" s="46">
        <f t="shared" si="2"/>
        <v>25</v>
      </c>
      <c r="W9" s="42"/>
      <c r="X9" s="79">
        <v>20</v>
      </c>
      <c r="Y9" s="79">
        <v>0</v>
      </c>
      <c r="Z9" s="79">
        <v>0</v>
      </c>
      <c r="AI9" s="67">
        <f>X2</f>
        <v>37876</v>
      </c>
      <c r="AJ9" s="22" t="s">
        <v>47</v>
      </c>
      <c r="AK9" s="23">
        <v>1</v>
      </c>
      <c r="AL9" s="24">
        <v>60000</v>
      </c>
      <c r="AM9" s="24">
        <v>300</v>
      </c>
      <c r="AN9" s="74">
        <f t="shared" si="18"/>
        <v>300</v>
      </c>
    </row>
    <row r="10" spans="1:40" ht="28.05" customHeight="1" thickBot="1">
      <c r="B10" s="40" t="s">
        <v>103</v>
      </c>
      <c r="C10" s="47">
        <v>18458</v>
      </c>
      <c r="D10" s="76" t="s">
        <v>128</v>
      </c>
      <c r="E10" s="8">
        <f>60</f>
        <v>60</v>
      </c>
      <c r="F10" s="1" t="str">
        <f>RIGHT(TEXT(C9,0),1)</f>
        <v>7</v>
      </c>
      <c r="G10" s="69">
        <f t="shared" si="4"/>
        <v>0</v>
      </c>
      <c r="H10" s="69">
        <f t="shared" si="5"/>
        <v>0</v>
      </c>
      <c r="I10" s="1">
        <f t="shared" si="6"/>
        <v>0</v>
      </c>
      <c r="J10" s="1">
        <f t="shared" si="7"/>
        <v>0</v>
      </c>
      <c r="K10" s="1">
        <f t="shared" si="8"/>
        <v>0</v>
      </c>
      <c r="L10" s="1">
        <f t="shared" si="9"/>
        <v>0</v>
      </c>
      <c r="M10" s="1">
        <f t="shared" si="10"/>
        <v>0</v>
      </c>
      <c r="N10" s="1">
        <f t="shared" si="11"/>
        <v>0</v>
      </c>
      <c r="O10" s="1">
        <f t="shared" si="12"/>
        <v>0</v>
      </c>
      <c r="P10" s="1">
        <f t="shared" si="13"/>
        <v>0</v>
      </c>
      <c r="Q10" s="1">
        <f t="shared" si="14"/>
        <v>0</v>
      </c>
      <c r="R10" s="81">
        <f t="shared" si="19"/>
        <v>0</v>
      </c>
      <c r="S10">
        <f t="shared" si="16"/>
        <v>0</v>
      </c>
      <c r="T10">
        <f t="shared" si="17"/>
        <v>0</v>
      </c>
      <c r="U10" s="45">
        <v>4</v>
      </c>
      <c r="V10" s="46">
        <f t="shared" si="2"/>
        <v>20</v>
      </c>
      <c r="W10" s="42"/>
      <c r="X10" s="79">
        <v>60</v>
      </c>
      <c r="Y10" s="79">
        <v>46</v>
      </c>
      <c r="Z10" s="79">
        <v>0</v>
      </c>
      <c r="AI10" s="67">
        <f>Y2</f>
        <v>74778</v>
      </c>
      <c r="AJ10" s="22" t="s">
        <v>47</v>
      </c>
      <c r="AK10" s="23">
        <v>2</v>
      </c>
      <c r="AL10" s="24">
        <v>60000</v>
      </c>
      <c r="AM10" s="24">
        <v>300</v>
      </c>
      <c r="AN10" s="74">
        <f t="shared" si="18"/>
        <v>300</v>
      </c>
    </row>
    <row r="11" spans="1:40" ht="28.05" customHeight="1" thickBot="1">
      <c r="B11" s="40" t="s">
        <v>103</v>
      </c>
      <c r="C11" s="47">
        <v>9437</v>
      </c>
      <c r="D11" s="76" t="s">
        <v>128</v>
      </c>
      <c r="E11" s="8">
        <v>40</v>
      </c>
      <c r="F11" s="1" t="str">
        <f>RIGHT(TEXT(C10,0),1)</f>
        <v>8</v>
      </c>
      <c r="G11" s="69">
        <f t="shared" si="4"/>
        <v>0</v>
      </c>
      <c r="H11" s="69">
        <f t="shared" si="5"/>
        <v>0</v>
      </c>
      <c r="I11" s="1">
        <f t="shared" si="6"/>
        <v>0</v>
      </c>
      <c r="J11" s="1">
        <f t="shared" si="7"/>
        <v>0</v>
      </c>
      <c r="K11" s="1">
        <f t="shared" si="8"/>
        <v>0</v>
      </c>
      <c r="L11" s="1">
        <f t="shared" si="9"/>
        <v>0</v>
      </c>
      <c r="M11" s="1">
        <f t="shared" si="10"/>
        <v>0</v>
      </c>
      <c r="N11" s="1">
        <f t="shared" si="11"/>
        <v>0</v>
      </c>
      <c r="O11" s="1">
        <f t="shared" si="12"/>
        <v>0</v>
      </c>
      <c r="P11" s="1">
        <f t="shared" si="13"/>
        <v>0</v>
      </c>
      <c r="Q11" s="1">
        <f t="shared" si="14"/>
        <v>0</v>
      </c>
      <c r="R11" s="81">
        <f t="shared" si="19"/>
        <v>0</v>
      </c>
      <c r="S11">
        <f t="shared" si="16"/>
        <v>0</v>
      </c>
      <c r="T11">
        <f t="shared" si="17"/>
        <v>0</v>
      </c>
      <c r="U11" s="45">
        <v>5</v>
      </c>
      <c r="V11" s="46">
        <f t="shared" si="2"/>
        <v>10</v>
      </c>
      <c r="W11" s="42"/>
      <c r="X11" s="79">
        <v>40</v>
      </c>
      <c r="Y11" s="79">
        <v>0</v>
      </c>
      <c r="Z11" s="79">
        <v>0</v>
      </c>
      <c r="AI11" s="67">
        <f>Z2</f>
        <v>72853</v>
      </c>
      <c r="AJ11" s="22" t="s">
        <v>47</v>
      </c>
      <c r="AK11" s="23">
        <v>3</v>
      </c>
      <c r="AL11" s="24">
        <v>60000</v>
      </c>
      <c r="AM11" s="24">
        <v>300</v>
      </c>
      <c r="AN11" s="74">
        <f t="shared" si="18"/>
        <v>300</v>
      </c>
    </row>
    <row r="12" spans="1:40" ht="28.05" customHeight="1" thickBot="1">
      <c r="B12" s="40" t="s">
        <v>103</v>
      </c>
      <c r="C12" s="47">
        <v>85293</v>
      </c>
      <c r="D12" s="76" t="s">
        <v>129</v>
      </c>
      <c r="E12" s="8">
        <f>5*4.2</f>
        <v>21</v>
      </c>
      <c r="F12" s="1" t="str">
        <f t="shared" si="1"/>
        <v>3</v>
      </c>
      <c r="G12" s="69">
        <f t="shared" si="4"/>
        <v>0</v>
      </c>
      <c r="H12" s="69">
        <f t="shared" si="5"/>
        <v>0</v>
      </c>
      <c r="I12" s="1">
        <f t="shared" si="6"/>
        <v>0</v>
      </c>
      <c r="J12" s="1">
        <f t="shared" si="7"/>
        <v>0</v>
      </c>
      <c r="K12" s="1">
        <f t="shared" si="8"/>
        <v>0</v>
      </c>
      <c r="L12" s="1">
        <f t="shared" si="9"/>
        <v>0</v>
      </c>
      <c r="M12" s="1">
        <f t="shared" si="10"/>
        <v>0</v>
      </c>
      <c r="N12" s="1">
        <f t="shared" si="11"/>
        <v>0</v>
      </c>
      <c r="O12" s="1">
        <f t="shared" si="12"/>
        <v>0</v>
      </c>
      <c r="P12" s="1">
        <f t="shared" si="13"/>
        <v>0</v>
      </c>
      <c r="Q12" s="1">
        <f t="shared" si="14"/>
        <v>0</v>
      </c>
      <c r="R12" s="81">
        <f t="shared" si="19"/>
        <v>0</v>
      </c>
      <c r="S12">
        <f t="shared" si="16"/>
        <v>0</v>
      </c>
      <c r="T12">
        <f t="shared" si="17"/>
        <v>0</v>
      </c>
      <c r="U12" s="45">
        <v>6</v>
      </c>
      <c r="V12" s="46">
        <f t="shared" si="2"/>
        <v>8</v>
      </c>
      <c r="W12" s="42"/>
      <c r="X12" s="79">
        <v>21</v>
      </c>
      <c r="Y12" s="79">
        <v>0</v>
      </c>
      <c r="Z12" s="79">
        <v>0</v>
      </c>
      <c r="AI12" s="67">
        <f>AA2</f>
        <v>45456</v>
      </c>
      <c r="AJ12" s="22" t="s">
        <v>47</v>
      </c>
      <c r="AK12" s="23">
        <v>4</v>
      </c>
      <c r="AL12" s="24">
        <v>60000</v>
      </c>
      <c r="AM12" s="24">
        <v>300</v>
      </c>
      <c r="AN12" s="74">
        <f t="shared" si="18"/>
        <v>300</v>
      </c>
    </row>
    <row r="13" spans="1:40" ht="28.05" customHeight="1" thickBot="1">
      <c r="B13" s="40" t="s">
        <v>103</v>
      </c>
      <c r="C13" s="47">
        <v>33032</v>
      </c>
      <c r="D13" s="76" t="s">
        <v>130</v>
      </c>
      <c r="E13" s="8">
        <v>20</v>
      </c>
      <c r="F13" s="1" t="str">
        <f t="shared" si="1"/>
        <v>2</v>
      </c>
      <c r="G13" s="69">
        <f t="shared" si="4"/>
        <v>0</v>
      </c>
      <c r="H13" s="69">
        <f t="shared" si="5"/>
        <v>0</v>
      </c>
      <c r="I13" s="1">
        <f t="shared" si="6"/>
        <v>0</v>
      </c>
      <c r="J13" s="1">
        <f t="shared" si="7"/>
        <v>0</v>
      </c>
      <c r="K13" s="1">
        <f t="shared" si="8"/>
        <v>0</v>
      </c>
      <c r="L13" s="1">
        <f t="shared" si="9"/>
        <v>0</v>
      </c>
      <c r="M13" s="1">
        <f t="shared" si="10"/>
        <v>0</v>
      </c>
      <c r="N13" s="1">
        <f t="shared" si="11"/>
        <v>0</v>
      </c>
      <c r="O13" s="1">
        <f t="shared" si="12"/>
        <v>0</v>
      </c>
      <c r="P13" s="1">
        <f t="shared" si="13"/>
        <v>0</v>
      </c>
      <c r="Q13" s="1">
        <f t="shared" si="14"/>
        <v>0</v>
      </c>
      <c r="R13" s="81">
        <f t="shared" si="19"/>
        <v>0</v>
      </c>
      <c r="S13">
        <f t="shared" si="16"/>
        <v>0</v>
      </c>
      <c r="T13">
        <f t="shared" si="17"/>
        <v>0</v>
      </c>
      <c r="U13" s="45">
        <v>7</v>
      </c>
      <c r="V13" s="46">
        <f t="shared" si="2"/>
        <v>89.666666666666671</v>
      </c>
      <c r="W13" s="42"/>
      <c r="X13" s="79">
        <v>20</v>
      </c>
      <c r="Y13" s="79">
        <v>0</v>
      </c>
      <c r="Z13" s="79">
        <v>0</v>
      </c>
      <c r="AI13" s="67">
        <f>AB2</f>
        <v>45225</v>
      </c>
      <c r="AJ13" s="22" t="s">
        <v>47</v>
      </c>
      <c r="AK13" s="23">
        <v>5</v>
      </c>
      <c r="AL13" s="24">
        <v>60000</v>
      </c>
      <c r="AM13" s="24">
        <v>300</v>
      </c>
      <c r="AN13" s="74">
        <f t="shared" si="18"/>
        <v>300</v>
      </c>
    </row>
    <row r="14" spans="1:40" ht="28.05" customHeight="1" thickBot="1">
      <c r="B14" s="40" t="s">
        <v>103</v>
      </c>
      <c r="C14" s="47">
        <v>71139</v>
      </c>
      <c r="D14" s="76" t="s">
        <v>131</v>
      </c>
      <c r="E14" s="8">
        <v>20</v>
      </c>
      <c r="F14" s="1" t="str">
        <f t="shared" si="1"/>
        <v>9</v>
      </c>
      <c r="G14" s="69">
        <f t="shared" si="4"/>
        <v>0</v>
      </c>
      <c r="H14" s="69">
        <f t="shared" si="5"/>
        <v>0</v>
      </c>
      <c r="I14" s="1">
        <f t="shared" si="6"/>
        <v>0</v>
      </c>
      <c r="J14" s="1">
        <f t="shared" si="7"/>
        <v>0</v>
      </c>
      <c r="K14" s="1">
        <f t="shared" si="8"/>
        <v>0</v>
      </c>
      <c r="L14" s="1">
        <f t="shared" si="9"/>
        <v>0</v>
      </c>
      <c r="M14" s="1">
        <f t="shared" si="10"/>
        <v>0</v>
      </c>
      <c r="N14" s="1">
        <f t="shared" si="11"/>
        <v>0</v>
      </c>
      <c r="O14" s="1">
        <f t="shared" si="12"/>
        <v>0</v>
      </c>
      <c r="P14" s="1">
        <f t="shared" si="13"/>
        <v>0</v>
      </c>
      <c r="Q14" s="1">
        <f t="shared" si="14"/>
        <v>0</v>
      </c>
      <c r="R14" s="81">
        <f t="shared" si="19"/>
        <v>0</v>
      </c>
      <c r="S14">
        <f t="shared" si="16"/>
        <v>0</v>
      </c>
      <c r="T14">
        <f t="shared" si="17"/>
        <v>0</v>
      </c>
      <c r="U14" s="45">
        <v>8</v>
      </c>
      <c r="V14" s="46">
        <f t="shared" si="2"/>
        <v>67</v>
      </c>
      <c r="W14" s="42"/>
      <c r="X14" s="79">
        <v>20</v>
      </c>
      <c r="Y14" s="79">
        <v>0</v>
      </c>
      <c r="Z14" s="79">
        <v>0</v>
      </c>
      <c r="AI14" s="67">
        <f>AC2</f>
        <v>97345</v>
      </c>
      <c r="AJ14" s="22" t="s">
        <v>47</v>
      </c>
      <c r="AK14" s="23">
        <v>6</v>
      </c>
      <c r="AL14" s="24">
        <v>60000</v>
      </c>
      <c r="AM14" s="24">
        <v>300</v>
      </c>
      <c r="AN14" s="74">
        <f t="shared" si="18"/>
        <v>300</v>
      </c>
    </row>
    <row r="15" spans="1:40" ht="28.05" customHeight="1" thickBot="1">
      <c r="B15" s="40" t="s">
        <v>103</v>
      </c>
      <c r="C15" s="47">
        <v>19072</v>
      </c>
      <c r="D15" s="76" t="s">
        <v>132</v>
      </c>
      <c r="E15" s="8">
        <v>20</v>
      </c>
      <c r="F15" s="1" t="str">
        <f t="shared" si="1"/>
        <v>2</v>
      </c>
      <c r="G15" s="69">
        <f t="shared" si="4"/>
        <v>0</v>
      </c>
      <c r="H15" s="69">
        <f t="shared" si="5"/>
        <v>0</v>
      </c>
      <c r="I15" s="1">
        <f t="shared" si="6"/>
        <v>0</v>
      </c>
      <c r="J15" s="1">
        <f t="shared" si="7"/>
        <v>0</v>
      </c>
      <c r="K15" s="1">
        <f t="shared" si="8"/>
        <v>0</v>
      </c>
      <c r="L15" s="1">
        <f t="shared" si="9"/>
        <v>0</v>
      </c>
      <c r="M15" s="1">
        <f t="shared" si="10"/>
        <v>0</v>
      </c>
      <c r="N15" s="1">
        <f t="shared" si="11"/>
        <v>0</v>
      </c>
      <c r="O15" s="1">
        <f t="shared" si="12"/>
        <v>0</v>
      </c>
      <c r="P15" s="1">
        <f t="shared" si="13"/>
        <v>0</v>
      </c>
      <c r="Q15" s="1">
        <f t="shared" si="14"/>
        <v>0</v>
      </c>
      <c r="R15" s="81">
        <f t="shared" si="19"/>
        <v>0</v>
      </c>
      <c r="S15">
        <f t="shared" si="16"/>
        <v>0</v>
      </c>
      <c r="T15">
        <f t="shared" si="17"/>
        <v>0</v>
      </c>
      <c r="U15" s="45">
        <v>9</v>
      </c>
      <c r="V15" s="46">
        <f t="shared" si="2"/>
        <v>24</v>
      </c>
      <c r="W15" s="42"/>
      <c r="X15" s="79">
        <v>20</v>
      </c>
      <c r="Y15" s="79">
        <v>0</v>
      </c>
      <c r="Z15" s="79">
        <v>0</v>
      </c>
      <c r="AI15" s="67">
        <f>AD2</f>
        <v>75143</v>
      </c>
      <c r="AJ15" s="22" t="s">
        <v>47</v>
      </c>
      <c r="AK15" s="23">
        <v>7</v>
      </c>
      <c r="AL15" s="24">
        <v>60000</v>
      </c>
      <c r="AM15" s="24">
        <v>300</v>
      </c>
      <c r="AN15" s="74">
        <f t="shared" si="18"/>
        <v>300</v>
      </c>
    </row>
    <row r="16" spans="1:40" ht="28.05" customHeight="1" thickBot="1">
      <c r="B16" s="40" t="s">
        <v>103</v>
      </c>
      <c r="C16" s="47">
        <v>4981</v>
      </c>
      <c r="D16" s="76" t="s">
        <v>133</v>
      </c>
      <c r="E16" s="8">
        <v>20</v>
      </c>
      <c r="F16" s="1" t="str">
        <f t="shared" si="1"/>
        <v>1</v>
      </c>
      <c r="G16" s="69">
        <f t="shared" si="4"/>
        <v>0</v>
      </c>
      <c r="H16" s="69">
        <f t="shared" si="5"/>
        <v>0</v>
      </c>
      <c r="I16" s="1">
        <f t="shared" si="6"/>
        <v>0</v>
      </c>
      <c r="J16" s="1">
        <f t="shared" si="7"/>
        <v>0</v>
      </c>
      <c r="K16" s="1">
        <f t="shared" si="8"/>
        <v>0</v>
      </c>
      <c r="L16" s="1">
        <f t="shared" si="9"/>
        <v>0</v>
      </c>
      <c r="M16" s="1">
        <f t="shared" si="10"/>
        <v>0</v>
      </c>
      <c r="N16" s="1">
        <f t="shared" si="11"/>
        <v>0</v>
      </c>
      <c r="O16" s="1">
        <f t="shared" si="12"/>
        <v>0</v>
      </c>
      <c r="P16" s="1">
        <f t="shared" si="13"/>
        <v>0</v>
      </c>
      <c r="Q16" s="1">
        <f t="shared" si="14"/>
        <v>0</v>
      </c>
      <c r="R16" s="81">
        <f t="shared" si="19"/>
        <v>0</v>
      </c>
      <c r="S16">
        <f t="shared" si="16"/>
        <v>0</v>
      </c>
      <c r="T16">
        <f t="shared" si="17"/>
        <v>0</v>
      </c>
      <c r="X16" s="79">
        <v>20</v>
      </c>
      <c r="Y16" s="79">
        <v>0</v>
      </c>
      <c r="Z16" s="79">
        <v>0</v>
      </c>
      <c r="AI16" s="67">
        <f>AE2</f>
        <v>60622</v>
      </c>
      <c r="AJ16" s="22" t="s">
        <v>47</v>
      </c>
      <c r="AK16" s="23">
        <v>8</v>
      </c>
      <c r="AL16" s="24">
        <v>60000</v>
      </c>
      <c r="AM16" s="24">
        <v>300</v>
      </c>
      <c r="AN16" s="74">
        <f t="shared" si="18"/>
        <v>300</v>
      </c>
    </row>
    <row r="17" spans="2:40" ht="28.05" customHeight="1" thickBot="1">
      <c r="B17" s="40" t="s">
        <v>103</v>
      </c>
      <c r="C17" s="47">
        <v>55340</v>
      </c>
      <c r="D17" s="76" t="s">
        <v>134</v>
      </c>
      <c r="E17" s="8">
        <v>2</v>
      </c>
      <c r="F17" s="1" t="str">
        <f t="shared" si="1"/>
        <v>0</v>
      </c>
      <c r="G17" s="69">
        <f t="shared" si="4"/>
        <v>0</v>
      </c>
      <c r="H17" s="69">
        <f t="shared" si="5"/>
        <v>0</v>
      </c>
      <c r="I17" s="1">
        <f t="shared" si="6"/>
        <v>0</v>
      </c>
      <c r="J17" s="1">
        <f t="shared" si="7"/>
        <v>0</v>
      </c>
      <c r="K17" s="1">
        <f t="shared" si="8"/>
        <v>0</v>
      </c>
      <c r="L17" s="1">
        <f t="shared" si="9"/>
        <v>0</v>
      </c>
      <c r="M17" s="1">
        <f t="shared" si="10"/>
        <v>0</v>
      </c>
      <c r="N17" s="1">
        <f t="shared" si="11"/>
        <v>0</v>
      </c>
      <c r="O17" s="1">
        <f t="shared" si="12"/>
        <v>0</v>
      </c>
      <c r="P17" s="1">
        <f t="shared" si="13"/>
        <v>10</v>
      </c>
      <c r="Q17" s="1">
        <f t="shared" si="14"/>
        <v>2</v>
      </c>
      <c r="R17" s="81">
        <f t="shared" si="19"/>
        <v>12</v>
      </c>
      <c r="S17">
        <f t="shared" si="16"/>
        <v>0</v>
      </c>
      <c r="T17">
        <f t="shared" si="17"/>
        <v>12</v>
      </c>
      <c r="X17" s="79">
        <v>2</v>
      </c>
      <c r="Y17" s="79">
        <v>0</v>
      </c>
      <c r="Z17" s="79">
        <v>0</v>
      </c>
      <c r="AI17" s="38"/>
      <c r="AJ17" s="25" t="s">
        <v>48</v>
      </c>
      <c r="AK17" s="26">
        <v>1794</v>
      </c>
      <c r="AL17" s="27">
        <v>1000</v>
      </c>
      <c r="AM17" s="27">
        <v>5</v>
      </c>
      <c r="AN17" s="74">
        <f t="shared" si="18"/>
        <v>5</v>
      </c>
    </row>
    <row r="18" spans="2:40" ht="28.05" customHeight="1" thickBot="1">
      <c r="B18" s="40" t="s">
        <v>103</v>
      </c>
      <c r="C18" s="47">
        <v>73188</v>
      </c>
      <c r="D18" s="76" t="s">
        <v>134</v>
      </c>
      <c r="E18" s="8">
        <v>2</v>
      </c>
      <c r="F18" s="1" t="str">
        <f t="shared" si="1"/>
        <v>8</v>
      </c>
      <c r="G18" s="69">
        <f t="shared" si="4"/>
        <v>0</v>
      </c>
      <c r="H18" s="69">
        <f t="shared" si="5"/>
        <v>0</v>
      </c>
      <c r="I18" s="1">
        <f t="shared" si="6"/>
        <v>0</v>
      </c>
      <c r="J18" s="1">
        <f t="shared" si="7"/>
        <v>0</v>
      </c>
      <c r="K18" s="1">
        <f t="shared" si="8"/>
        <v>0</v>
      </c>
      <c r="L18" s="1">
        <f t="shared" si="9"/>
        <v>0</v>
      </c>
      <c r="M18" s="1">
        <f t="shared" si="10"/>
        <v>0</v>
      </c>
      <c r="N18" s="1">
        <f t="shared" si="11"/>
        <v>0</v>
      </c>
      <c r="O18" s="1">
        <f t="shared" si="12"/>
        <v>0</v>
      </c>
      <c r="P18" s="1">
        <f t="shared" si="13"/>
        <v>0</v>
      </c>
      <c r="Q18" s="1">
        <f t="shared" si="14"/>
        <v>0</v>
      </c>
      <c r="R18" s="81">
        <f t="shared" si="19"/>
        <v>0</v>
      </c>
      <c r="S18">
        <f t="shared" si="16"/>
        <v>0</v>
      </c>
      <c r="T18">
        <f t="shared" si="17"/>
        <v>0</v>
      </c>
      <c r="X18" s="79">
        <v>2</v>
      </c>
      <c r="Y18" s="79">
        <v>0</v>
      </c>
      <c r="Z18" s="79">
        <v>0</v>
      </c>
      <c r="AI18" s="33">
        <f>AI4-1</f>
        <v>72479</v>
      </c>
      <c r="AJ18" s="19" t="s">
        <v>57</v>
      </c>
      <c r="AK18" s="20">
        <v>1</v>
      </c>
      <c r="AL18" s="21">
        <v>20000</v>
      </c>
      <c r="AM18" s="21">
        <v>100</v>
      </c>
      <c r="AN18" s="74">
        <f t="shared" si="18"/>
        <v>100</v>
      </c>
    </row>
    <row r="19" spans="2:40" ht="28.05" customHeight="1" thickBot="1">
      <c r="B19" s="40" t="s">
        <v>103</v>
      </c>
      <c r="C19" s="47">
        <v>20932</v>
      </c>
      <c r="D19" s="76" t="s">
        <v>135</v>
      </c>
      <c r="E19" s="8">
        <v>4</v>
      </c>
      <c r="F19" s="1" t="str">
        <f t="shared" si="1"/>
        <v>2</v>
      </c>
      <c r="G19" s="69">
        <f t="shared" si="4"/>
        <v>0</v>
      </c>
      <c r="H19" s="69">
        <f t="shared" si="5"/>
        <v>0</v>
      </c>
      <c r="I19" s="1">
        <f t="shared" si="6"/>
        <v>0</v>
      </c>
      <c r="J19" s="1">
        <f t="shared" si="7"/>
        <v>0</v>
      </c>
      <c r="K19" s="1">
        <f t="shared" si="8"/>
        <v>0</v>
      </c>
      <c r="L19" s="1">
        <f t="shared" si="9"/>
        <v>0</v>
      </c>
      <c r="M19" s="1">
        <f t="shared" si="10"/>
        <v>0</v>
      </c>
      <c r="N19" s="1">
        <f t="shared" si="11"/>
        <v>0</v>
      </c>
      <c r="O19" s="1">
        <f t="shared" si="12"/>
        <v>0</v>
      </c>
      <c r="P19" s="1">
        <f t="shared" si="13"/>
        <v>0</v>
      </c>
      <c r="Q19" s="1">
        <f t="shared" si="14"/>
        <v>0</v>
      </c>
      <c r="R19" s="81">
        <f t="shared" si="19"/>
        <v>0</v>
      </c>
      <c r="S19">
        <f t="shared" si="16"/>
        <v>0</v>
      </c>
      <c r="T19">
        <f t="shared" si="17"/>
        <v>0</v>
      </c>
      <c r="X19" s="79">
        <v>4</v>
      </c>
      <c r="Y19" s="79">
        <v>0</v>
      </c>
      <c r="Z19" s="79">
        <v>0</v>
      </c>
      <c r="AI19" s="33">
        <f>AI4+1</f>
        <v>72481</v>
      </c>
      <c r="AJ19" s="19" t="s">
        <v>58</v>
      </c>
      <c r="AK19" s="20">
        <v>1</v>
      </c>
      <c r="AL19" s="21">
        <v>20000</v>
      </c>
      <c r="AM19" s="21">
        <v>100</v>
      </c>
      <c r="AN19" s="74">
        <f t="shared" si="18"/>
        <v>100</v>
      </c>
    </row>
    <row r="20" spans="2:40" ht="28.05" customHeight="1" thickBot="1">
      <c r="B20" s="40" t="s">
        <v>103</v>
      </c>
      <c r="C20" s="47">
        <v>42252</v>
      </c>
      <c r="D20" s="76" t="s">
        <v>136</v>
      </c>
      <c r="E20" s="8">
        <v>20</v>
      </c>
      <c r="F20" s="1" t="str">
        <f t="shared" si="1"/>
        <v>2</v>
      </c>
      <c r="G20" s="69">
        <f t="shared" si="4"/>
        <v>0</v>
      </c>
      <c r="H20" s="69">
        <f t="shared" si="5"/>
        <v>0</v>
      </c>
      <c r="I20" s="1">
        <f t="shared" si="6"/>
        <v>0</v>
      </c>
      <c r="J20" s="1">
        <f t="shared" si="7"/>
        <v>0</v>
      </c>
      <c r="K20" s="1">
        <f t="shared" si="8"/>
        <v>0</v>
      </c>
      <c r="L20" s="1">
        <f t="shared" si="9"/>
        <v>0</v>
      </c>
      <c r="M20" s="1">
        <f t="shared" si="10"/>
        <v>0</v>
      </c>
      <c r="N20" s="1">
        <f t="shared" si="11"/>
        <v>0</v>
      </c>
      <c r="O20" s="1">
        <f t="shared" si="12"/>
        <v>0</v>
      </c>
      <c r="P20" s="1">
        <f t="shared" si="13"/>
        <v>0</v>
      </c>
      <c r="Q20" s="1">
        <f t="shared" si="14"/>
        <v>0</v>
      </c>
      <c r="R20" s="81">
        <f t="shared" si="19"/>
        <v>0</v>
      </c>
      <c r="S20">
        <f t="shared" si="16"/>
        <v>0</v>
      </c>
      <c r="T20">
        <f t="shared" si="17"/>
        <v>0</v>
      </c>
      <c r="X20" s="79">
        <v>20</v>
      </c>
      <c r="Y20" s="79">
        <v>0</v>
      </c>
      <c r="Z20" s="79">
        <v>0</v>
      </c>
      <c r="AI20" s="33">
        <f>AI5-1</f>
        <v>40013</v>
      </c>
      <c r="AJ20" s="22" t="s">
        <v>59</v>
      </c>
      <c r="AK20" s="23">
        <v>2</v>
      </c>
      <c r="AL20" s="24">
        <v>12500</v>
      </c>
      <c r="AM20" s="28">
        <v>62.5</v>
      </c>
      <c r="AN20" s="74">
        <f t="shared" si="18"/>
        <v>62.5</v>
      </c>
    </row>
    <row r="21" spans="2:40" ht="28.05" customHeight="1" thickBot="1">
      <c r="B21" s="40" t="s">
        <v>103</v>
      </c>
      <c r="C21" s="47">
        <v>37613</v>
      </c>
      <c r="D21" s="76" t="s">
        <v>88</v>
      </c>
      <c r="E21" s="8">
        <v>4</v>
      </c>
      <c r="F21" s="1" t="str">
        <f t="shared" si="1"/>
        <v>3</v>
      </c>
      <c r="G21" s="69">
        <f t="shared" si="4"/>
        <v>0</v>
      </c>
      <c r="H21" s="69">
        <f t="shared" si="5"/>
        <v>0</v>
      </c>
      <c r="I21" s="1">
        <f t="shared" si="6"/>
        <v>0</v>
      </c>
      <c r="J21" s="1">
        <f t="shared" si="7"/>
        <v>0</v>
      </c>
      <c r="K21" s="1">
        <f t="shared" si="8"/>
        <v>0</v>
      </c>
      <c r="L21" s="1">
        <f t="shared" si="9"/>
        <v>0</v>
      </c>
      <c r="M21" s="1">
        <f t="shared" si="10"/>
        <v>0</v>
      </c>
      <c r="N21" s="1">
        <f t="shared" si="11"/>
        <v>0</v>
      </c>
      <c r="O21" s="1">
        <f t="shared" si="12"/>
        <v>0</v>
      </c>
      <c r="P21" s="1">
        <f t="shared" si="13"/>
        <v>0</v>
      </c>
      <c r="Q21" s="1">
        <f t="shared" si="14"/>
        <v>0</v>
      </c>
      <c r="R21" s="81">
        <f t="shared" si="19"/>
        <v>0</v>
      </c>
      <c r="S21">
        <f t="shared" si="16"/>
        <v>0</v>
      </c>
      <c r="T21">
        <f t="shared" si="17"/>
        <v>0</v>
      </c>
      <c r="X21" s="79">
        <v>0</v>
      </c>
      <c r="Y21" s="79">
        <v>0</v>
      </c>
      <c r="Z21" s="79">
        <v>4</v>
      </c>
      <c r="AI21" s="33">
        <f>AI5+1</f>
        <v>40015</v>
      </c>
      <c r="AJ21" s="22" t="s">
        <v>60</v>
      </c>
      <c r="AK21" s="23">
        <v>2</v>
      </c>
      <c r="AL21" s="24">
        <v>12500</v>
      </c>
      <c r="AM21" s="28">
        <v>62.5</v>
      </c>
      <c r="AN21" s="74">
        <f t="shared" si="18"/>
        <v>62.5</v>
      </c>
    </row>
    <row r="22" spans="2:40" ht="28.05" customHeight="1" thickBot="1">
      <c r="B22" s="40" t="s">
        <v>103</v>
      </c>
      <c r="C22" s="47">
        <v>31589</v>
      </c>
      <c r="D22" s="76" t="s">
        <v>118</v>
      </c>
      <c r="E22" s="8">
        <v>4</v>
      </c>
      <c r="F22" s="1" t="str">
        <f t="shared" si="1"/>
        <v>9</v>
      </c>
      <c r="G22" s="69">
        <f t="shared" si="4"/>
        <v>0</v>
      </c>
      <c r="H22" s="69">
        <f t="shared" si="5"/>
        <v>0</v>
      </c>
      <c r="I22" s="1">
        <f t="shared" si="6"/>
        <v>0</v>
      </c>
      <c r="J22" s="1">
        <f t="shared" si="7"/>
        <v>0</v>
      </c>
      <c r="K22" s="1">
        <f t="shared" si="8"/>
        <v>0</v>
      </c>
      <c r="L22" s="1">
        <f t="shared" si="9"/>
        <v>0</v>
      </c>
      <c r="M22" s="1">
        <f t="shared" si="10"/>
        <v>0</v>
      </c>
      <c r="N22" s="1">
        <f t="shared" si="11"/>
        <v>0</v>
      </c>
      <c r="O22" s="1">
        <f t="shared" si="12"/>
        <v>0</v>
      </c>
      <c r="P22" s="1">
        <f t="shared" si="13"/>
        <v>0</v>
      </c>
      <c r="Q22" s="1">
        <f t="shared" si="14"/>
        <v>0</v>
      </c>
      <c r="R22" s="81">
        <f t="shared" si="19"/>
        <v>0</v>
      </c>
      <c r="S22">
        <f t="shared" si="16"/>
        <v>0</v>
      </c>
      <c r="T22">
        <f t="shared" si="17"/>
        <v>0</v>
      </c>
      <c r="X22" s="79">
        <v>0</v>
      </c>
      <c r="Y22" s="79">
        <v>0</v>
      </c>
      <c r="Z22" s="79">
        <v>4</v>
      </c>
      <c r="AI22" s="33">
        <f>AI6-1</f>
        <v>11839</v>
      </c>
      <c r="AJ22" s="29" t="s">
        <v>61</v>
      </c>
      <c r="AK22" s="30">
        <v>2</v>
      </c>
      <c r="AL22" s="31">
        <v>9600</v>
      </c>
      <c r="AM22" s="31">
        <v>48</v>
      </c>
      <c r="AN22" s="74">
        <f t="shared" si="18"/>
        <v>48</v>
      </c>
    </row>
    <row r="23" spans="2:40" ht="28.05" customHeight="1" thickBot="1">
      <c r="B23" s="40" t="s">
        <v>103</v>
      </c>
      <c r="C23" s="47">
        <v>26230</v>
      </c>
      <c r="D23" s="76" t="s">
        <v>92</v>
      </c>
      <c r="E23" s="8">
        <v>4</v>
      </c>
      <c r="F23" s="1" t="str">
        <f>RIGHT(TEXT(C7,0),1)</f>
        <v>7</v>
      </c>
      <c r="G23" s="69">
        <f t="shared" si="4"/>
        <v>0</v>
      </c>
      <c r="H23" s="69">
        <f t="shared" si="5"/>
        <v>0</v>
      </c>
      <c r="I23" s="1">
        <f t="shared" si="6"/>
        <v>0</v>
      </c>
      <c r="J23" s="1">
        <f t="shared" si="7"/>
        <v>0</v>
      </c>
      <c r="K23" s="1">
        <f t="shared" si="8"/>
        <v>0</v>
      </c>
      <c r="L23" s="1">
        <f t="shared" si="9"/>
        <v>0</v>
      </c>
      <c r="M23" s="1">
        <f t="shared" si="10"/>
        <v>0</v>
      </c>
      <c r="N23" s="1">
        <f t="shared" si="11"/>
        <v>0</v>
      </c>
      <c r="O23" s="1">
        <f t="shared" si="12"/>
        <v>0</v>
      </c>
      <c r="P23" s="1">
        <f t="shared" si="13"/>
        <v>0</v>
      </c>
      <c r="Q23" s="1">
        <f t="shared" si="14"/>
        <v>4</v>
      </c>
      <c r="R23" s="81">
        <f t="shared" si="19"/>
        <v>4</v>
      </c>
      <c r="S23">
        <f t="shared" si="16"/>
        <v>0</v>
      </c>
      <c r="T23">
        <f t="shared" si="17"/>
        <v>4</v>
      </c>
      <c r="X23" s="79">
        <v>0</v>
      </c>
      <c r="Y23" s="79">
        <v>0</v>
      </c>
      <c r="Z23" s="79">
        <v>4</v>
      </c>
      <c r="AI23" s="33">
        <f>AI6+1</f>
        <v>11841</v>
      </c>
      <c r="AJ23" s="29" t="s">
        <v>62</v>
      </c>
      <c r="AK23" s="30">
        <v>2</v>
      </c>
      <c r="AL23" s="31">
        <v>9600</v>
      </c>
      <c r="AM23" s="31">
        <v>48</v>
      </c>
      <c r="AN23" s="74">
        <f t="shared" si="18"/>
        <v>48</v>
      </c>
    </row>
    <row r="24" spans="2:40" ht="28.05" customHeight="1" thickBot="1">
      <c r="B24" s="40" t="s">
        <v>103</v>
      </c>
      <c r="C24" s="47">
        <v>55557</v>
      </c>
      <c r="D24" s="76" t="s">
        <v>124</v>
      </c>
      <c r="E24" s="8">
        <v>4</v>
      </c>
      <c r="F24" s="1" t="str">
        <f t="shared" si="1"/>
        <v>7</v>
      </c>
      <c r="G24" s="69">
        <f t="shared" si="4"/>
        <v>0</v>
      </c>
      <c r="H24" s="69">
        <f t="shared" si="5"/>
        <v>0</v>
      </c>
      <c r="I24" s="1">
        <f t="shared" si="6"/>
        <v>0</v>
      </c>
      <c r="J24" s="1">
        <f t="shared" si="7"/>
        <v>0</v>
      </c>
      <c r="K24" s="1">
        <f t="shared" si="8"/>
        <v>0</v>
      </c>
      <c r="L24" s="1">
        <f t="shared" si="9"/>
        <v>0</v>
      </c>
      <c r="M24" s="1">
        <f t="shared" si="10"/>
        <v>0</v>
      </c>
      <c r="N24" s="1">
        <f t="shared" si="11"/>
        <v>0</v>
      </c>
      <c r="O24" s="1">
        <f t="shared" si="12"/>
        <v>0</v>
      </c>
      <c r="P24" s="1">
        <f t="shared" si="13"/>
        <v>0</v>
      </c>
      <c r="Q24" s="1">
        <f t="shared" si="14"/>
        <v>0</v>
      </c>
      <c r="R24" s="81">
        <f t="shared" si="19"/>
        <v>0</v>
      </c>
      <c r="S24">
        <f t="shared" si="16"/>
        <v>0</v>
      </c>
      <c r="T24">
        <f t="shared" si="17"/>
        <v>0</v>
      </c>
      <c r="X24" s="79">
        <v>0</v>
      </c>
      <c r="Y24" s="79">
        <v>0</v>
      </c>
      <c r="Z24" s="79">
        <v>4</v>
      </c>
      <c r="AI24" s="33" t="str">
        <f>LEFT(AI4,3)</f>
        <v>724</v>
      </c>
      <c r="AJ24" s="15" t="s">
        <v>63</v>
      </c>
      <c r="AK24" s="16">
        <v>99</v>
      </c>
      <c r="AL24" s="17">
        <v>1000</v>
      </c>
      <c r="AM24" s="17">
        <v>5</v>
      </c>
      <c r="AN24" s="74">
        <f t="shared" si="18"/>
        <v>5</v>
      </c>
    </row>
    <row r="25" spans="2:40" ht="28.05" customHeight="1" thickBot="1">
      <c r="B25" s="40" t="s">
        <v>103</v>
      </c>
      <c r="C25" s="47">
        <v>25505</v>
      </c>
      <c r="D25" s="76" t="s">
        <v>137</v>
      </c>
      <c r="E25" s="8">
        <v>10</v>
      </c>
      <c r="F25" s="1" t="str">
        <f t="shared" si="1"/>
        <v>5</v>
      </c>
      <c r="G25" s="69">
        <f t="shared" si="4"/>
        <v>0</v>
      </c>
      <c r="H25" s="69">
        <f t="shared" si="5"/>
        <v>0</v>
      </c>
      <c r="I25" s="1">
        <f t="shared" si="6"/>
        <v>0</v>
      </c>
      <c r="J25" s="1">
        <f t="shared" si="7"/>
        <v>0</v>
      </c>
      <c r="K25" s="1">
        <f t="shared" si="8"/>
        <v>0</v>
      </c>
      <c r="L25" s="1">
        <f t="shared" si="9"/>
        <v>0</v>
      </c>
      <c r="M25" s="1">
        <f t="shared" si="10"/>
        <v>0</v>
      </c>
      <c r="N25" s="1">
        <f t="shared" si="11"/>
        <v>0</v>
      </c>
      <c r="O25" s="1">
        <f t="shared" si="12"/>
        <v>0</v>
      </c>
      <c r="P25" s="1">
        <f t="shared" si="13"/>
        <v>0</v>
      </c>
      <c r="Q25" s="1">
        <f t="shared" si="14"/>
        <v>0</v>
      </c>
      <c r="R25" s="81">
        <f t="shared" si="19"/>
        <v>0</v>
      </c>
      <c r="S25">
        <f t="shared" si="16"/>
        <v>0</v>
      </c>
      <c r="T25">
        <f t="shared" si="17"/>
        <v>0</v>
      </c>
      <c r="X25" s="79">
        <v>0</v>
      </c>
      <c r="Y25" s="79">
        <v>0</v>
      </c>
      <c r="Z25" s="79">
        <v>10</v>
      </c>
      <c r="AI25" s="33" t="str">
        <f t="shared" ref="AI25:AI28" si="20">LEFT(AI5,3)</f>
        <v>400</v>
      </c>
      <c r="AJ25" s="15" t="s">
        <v>49</v>
      </c>
      <c r="AK25" s="16">
        <v>99</v>
      </c>
      <c r="AL25" s="17">
        <v>1000</v>
      </c>
      <c r="AM25" s="17">
        <v>5</v>
      </c>
      <c r="AN25" s="74">
        <f t="shared" si="18"/>
        <v>5</v>
      </c>
    </row>
    <row r="26" spans="2:40" ht="28.05" customHeight="1" thickBot="1">
      <c r="B26" s="40" t="s">
        <v>103</v>
      </c>
      <c r="C26" s="47">
        <v>19467</v>
      </c>
      <c r="D26" s="76" t="s">
        <v>138</v>
      </c>
      <c r="E26" s="8">
        <f>20/3</f>
        <v>6.666666666666667</v>
      </c>
      <c r="F26" s="1" t="str">
        <f t="shared" si="1"/>
        <v>7</v>
      </c>
      <c r="G26" s="69">
        <f t="shared" si="4"/>
        <v>0</v>
      </c>
      <c r="H26" s="69">
        <f t="shared" si="5"/>
        <v>0</v>
      </c>
      <c r="I26" s="1">
        <f t="shared" si="6"/>
        <v>0</v>
      </c>
      <c r="J26" s="1">
        <f t="shared" si="7"/>
        <v>0</v>
      </c>
      <c r="K26" s="1">
        <f t="shared" si="8"/>
        <v>0</v>
      </c>
      <c r="L26" s="1">
        <f t="shared" si="9"/>
        <v>0</v>
      </c>
      <c r="M26" s="1">
        <f t="shared" si="10"/>
        <v>0</v>
      </c>
      <c r="N26" s="1">
        <f t="shared" si="11"/>
        <v>0</v>
      </c>
      <c r="O26" s="1">
        <f t="shared" si="12"/>
        <v>0</v>
      </c>
      <c r="P26" s="1">
        <f t="shared" si="13"/>
        <v>0</v>
      </c>
      <c r="Q26" s="1">
        <f t="shared" si="14"/>
        <v>0</v>
      </c>
      <c r="R26" s="81">
        <f t="shared" si="19"/>
        <v>0</v>
      </c>
      <c r="S26">
        <f t="shared" si="16"/>
        <v>0</v>
      </c>
      <c r="T26">
        <f t="shared" si="17"/>
        <v>0</v>
      </c>
      <c r="X26" s="79">
        <v>6.66</v>
      </c>
      <c r="Y26" s="79">
        <v>0</v>
      </c>
      <c r="Z26" s="79">
        <v>0</v>
      </c>
      <c r="AI26" s="33" t="str">
        <f t="shared" si="20"/>
        <v>118</v>
      </c>
      <c r="AJ26" s="15" t="s">
        <v>50</v>
      </c>
      <c r="AK26" s="16">
        <v>99</v>
      </c>
      <c r="AL26" s="17">
        <v>1000</v>
      </c>
      <c r="AM26" s="17">
        <v>5</v>
      </c>
      <c r="AN26" s="74">
        <f t="shared" si="18"/>
        <v>5</v>
      </c>
    </row>
    <row r="27" spans="2:40" ht="28.05" customHeight="1" thickBot="1">
      <c r="B27" s="40" t="s">
        <v>103</v>
      </c>
      <c r="C27" s="47">
        <v>53747</v>
      </c>
      <c r="D27" s="76" t="s">
        <v>139</v>
      </c>
      <c r="E27" s="8">
        <v>5</v>
      </c>
      <c r="F27" s="1" t="str">
        <f t="shared" si="1"/>
        <v>7</v>
      </c>
      <c r="G27" s="69">
        <f t="shared" si="4"/>
        <v>0</v>
      </c>
      <c r="H27" s="69">
        <f t="shared" si="5"/>
        <v>0</v>
      </c>
      <c r="I27" s="1">
        <f t="shared" si="6"/>
        <v>0</v>
      </c>
      <c r="J27" s="1">
        <f t="shared" si="7"/>
        <v>0</v>
      </c>
      <c r="K27" s="1">
        <f t="shared" si="8"/>
        <v>0</v>
      </c>
      <c r="L27" s="1">
        <f t="shared" si="9"/>
        <v>0</v>
      </c>
      <c r="M27" s="1">
        <f t="shared" si="10"/>
        <v>0</v>
      </c>
      <c r="N27" s="1">
        <f t="shared" si="11"/>
        <v>0</v>
      </c>
      <c r="O27" s="1">
        <f t="shared" si="12"/>
        <v>0</v>
      </c>
      <c r="P27" s="1">
        <f t="shared" si="13"/>
        <v>0</v>
      </c>
      <c r="Q27" s="1">
        <f t="shared" si="14"/>
        <v>0</v>
      </c>
      <c r="R27" s="81">
        <f t="shared" si="19"/>
        <v>0</v>
      </c>
      <c r="S27">
        <f t="shared" si="16"/>
        <v>0</v>
      </c>
      <c r="T27">
        <f t="shared" si="17"/>
        <v>0</v>
      </c>
      <c r="X27" s="79">
        <v>0</v>
      </c>
      <c r="Y27" s="79">
        <v>0</v>
      </c>
      <c r="Z27" s="79">
        <v>5</v>
      </c>
      <c r="AI27" s="33" t="str">
        <f t="shared" si="20"/>
        <v>777</v>
      </c>
      <c r="AJ27" s="35" t="s">
        <v>64</v>
      </c>
      <c r="AK27" s="36">
        <v>198</v>
      </c>
      <c r="AL27" s="37">
        <v>1000</v>
      </c>
      <c r="AM27" s="37">
        <v>5</v>
      </c>
      <c r="AN27" s="74">
        <f t="shared" si="18"/>
        <v>5</v>
      </c>
    </row>
    <row r="28" spans="2:40" ht="28.05" customHeight="1" thickBot="1">
      <c r="B28" s="40" t="s">
        <v>103</v>
      </c>
      <c r="C28" s="47">
        <v>28707</v>
      </c>
      <c r="D28" s="76" t="s">
        <v>125</v>
      </c>
      <c r="E28" s="8">
        <v>5</v>
      </c>
      <c r="F28" s="1" t="str">
        <f t="shared" si="1"/>
        <v>7</v>
      </c>
      <c r="G28" s="69">
        <f t="shared" si="4"/>
        <v>0</v>
      </c>
      <c r="H28" s="69">
        <f t="shared" si="5"/>
        <v>0</v>
      </c>
      <c r="I28" s="1">
        <f t="shared" si="6"/>
        <v>0</v>
      </c>
      <c r="J28" s="1">
        <f t="shared" si="7"/>
        <v>0</v>
      </c>
      <c r="K28" s="1">
        <f t="shared" si="8"/>
        <v>0</v>
      </c>
      <c r="L28" s="1">
        <f t="shared" si="9"/>
        <v>0</v>
      </c>
      <c r="M28" s="1">
        <f t="shared" si="10"/>
        <v>0</v>
      </c>
      <c r="N28" s="1">
        <f t="shared" si="11"/>
        <v>0</v>
      </c>
      <c r="O28" s="1">
        <f t="shared" si="12"/>
        <v>0</v>
      </c>
      <c r="P28" s="1">
        <f t="shared" si="13"/>
        <v>0</v>
      </c>
      <c r="Q28" s="1">
        <f t="shared" si="14"/>
        <v>0</v>
      </c>
      <c r="R28" s="81">
        <f t="shared" si="19"/>
        <v>0</v>
      </c>
      <c r="S28">
        <f t="shared" si="16"/>
        <v>0</v>
      </c>
      <c r="T28">
        <f t="shared" si="17"/>
        <v>0</v>
      </c>
      <c r="X28" s="79">
        <v>0</v>
      </c>
      <c r="Y28" s="79">
        <v>0</v>
      </c>
      <c r="Z28" s="79">
        <v>5</v>
      </c>
      <c r="AI28" s="33" t="str">
        <f t="shared" si="20"/>
        <v>480</v>
      </c>
      <c r="AJ28" s="35" t="s">
        <v>65</v>
      </c>
      <c r="AK28" s="36">
        <v>198</v>
      </c>
      <c r="AL28" s="37">
        <v>1000</v>
      </c>
      <c r="AM28" s="37">
        <v>5</v>
      </c>
      <c r="AN28" s="74">
        <f t="shared" si="18"/>
        <v>5</v>
      </c>
    </row>
    <row r="29" spans="2:40" ht="28.05" customHeight="1" thickBot="1">
      <c r="B29" s="40" t="s">
        <v>103</v>
      </c>
      <c r="C29" s="47">
        <v>3482</v>
      </c>
      <c r="D29" s="76" t="s">
        <v>116</v>
      </c>
      <c r="E29" s="8">
        <v>5</v>
      </c>
      <c r="F29" s="1" t="str">
        <f t="shared" si="1"/>
        <v>2</v>
      </c>
      <c r="G29" s="69">
        <f t="shared" si="4"/>
        <v>0</v>
      </c>
      <c r="H29" s="69">
        <f t="shared" si="5"/>
        <v>0</v>
      </c>
      <c r="I29" s="1">
        <f t="shared" si="6"/>
        <v>0</v>
      </c>
      <c r="J29" s="1">
        <f t="shared" si="7"/>
        <v>0</v>
      </c>
      <c r="K29" s="1">
        <f t="shared" si="8"/>
        <v>0</v>
      </c>
      <c r="L29" s="1">
        <f t="shared" si="9"/>
        <v>0</v>
      </c>
      <c r="M29" s="1">
        <f t="shared" si="10"/>
        <v>0</v>
      </c>
      <c r="N29" s="1">
        <f t="shared" si="11"/>
        <v>0</v>
      </c>
      <c r="O29" s="1">
        <f t="shared" si="12"/>
        <v>0</v>
      </c>
      <c r="P29" s="1">
        <f t="shared" si="13"/>
        <v>0</v>
      </c>
      <c r="Q29" s="1">
        <f t="shared" si="14"/>
        <v>0</v>
      </c>
      <c r="R29" s="81">
        <f t="shared" si="19"/>
        <v>0</v>
      </c>
      <c r="S29">
        <f t="shared" si="16"/>
        <v>0</v>
      </c>
      <c r="T29">
        <f t="shared" si="17"/>
        <v>0</v>
      </c>
      <c r="X29" s="79">
        <v>0</v>
      </c>
      <c r="Y29" s="79">
        <v>0</v>
      </c>
      <c r="Z29" s="79">
        <v>5</v>
      </c>
      <c r="AI29" s="33" t="str">
        <f>RIGHT(AI4,2)</f>
        <v>80</v>
      </c>
      <c r="AJ29" s="15" t="s">
        <v>51</v>
      </c>
      <c r="AK29" s="16">
        <v>999</v>
      </c>
      <c r="AL29" s="17">
        <v>1000</v>
      </c>
      <c r="AM29" s="17">
        <v>5</v>
      </c>
      <c r="AN29" s="74">
        <f t="shared" si="18"/>
        <v>5</v>
      </c>
    </row>
    <row r="30" spans="2:40" ht="28.05" customHeight="1" thickBot="1">
      <c r="B30" s="40" t="s">
        <v>103</v>
      </c>
      <c r="C30" s="47">
        <v>85324</v>
      </c>
      <c r="D30" s="76" t="s">
        <v>3</v>
      </c>
      <c r="E30" s="8">
        <v>20</v>
      </c>
      <c r="F30" s="1" t="str">
        <f t="shared" si="1"/>
        <v>4</v>
      </c>
      <c r="G30" s="69">
        <f t="shared" si="4"/>
        <v>0</v>
      </c>
      <c r="H30" s="69">
        <f t="shared" si="5"/>
        <v>0</v>
      </c>
      <c r="I30" s="1">
        <f t="shared" si="6"/>
        <v>0</v>
      </c>
      <c r="J30" s="1">
        <f t="shared" si="7"/>
        <v>0</v>
      </c>
      <c r="K30" s="1">
        <f t="shared" si="8"/>
        <v>0</v>
      </c>
      <c r="L30" s="1">
        <f t="shared" si="9"/>
        <v>0</v>
      </c>
      <c r="M30" s="1">
        <f t="shared" si="10"/>
        <v>0</v>
      </c>
      <c r="N30" s="1">
        <f t="shared" si="11"/>
        <v>0</v>
      </c>
      <c r="O30" s="1">
        <f t="shared" si="12"/>
        <v>0</v>
      </c>
      <c r="P30" s="1">
        <f t="shared" si="13"/>
        <v>0</v>
      </c>
      <c r="Q30" s="1">
        <f t="shared" si="14"/>
        <v>0</v>
      </c>
      <c r="R30" s="81">
        <f t="shared" si="19"/>
        <v>0</v>
      </c>
      <c r="S30">
        <f t="shared" si="16"/>
        <v>0</v>
      </c>
      <c r="T30">
        <f t="shared" si="17"/>
        <v>0</v>
      </c>
      <c r="X30" s="79">
        <v>20</v>
      </c>
      <c r="Y30" s="79">
        <v>0</v>
      </c>
      <c r="Z30" s="79">
        <v>0</v>
      </c>
      <c r="AI30" s="33" t="str">
        <f t="shared" ref="AI30:AI31" si="21">RIGHT(AI5,2)</f>
        <v>14</v>
      </c>
      <c r="AJ30" s="15" t="s">
        <v>52</v>
      </c>
      <c r="AK30" s="16">
        <v>999</v>
      </c>
      <c r="AL30" s="17">
        <v>1000</v>
      </c>
      <c r="AM30" s="17">
        <v>5</v>
      </c>
      <c r="AN30" s="74">
        <f t="shared" si="18"/>
        <v>5</v>
      </c>
    </row>
    <row r="31" spans="2:40" ht="28.05" customHeight="1" thickBot="1">
      <c r="B31" s="40" t="s">
        <v>103</v>
      </c>
      <c r="C31" s="47">
        <v>21166</v>
      </c>
      <c r="D31" s="76" t="s">
        <v>140</v>
      </c>
      <c r="E31" s="8">
        <v>8</v>
      </c>
      <c r="F31" s="1" t="str">
        <f t="shared" si="1"/>
        <v>6</v>
      </c>
      <c r="G31" s="69">
        <f t="shared" si="4"/>
        <v>0</v>
      </c>
      <c r="H31" s="69">
        <f t="shared" si="5"/>
        <v>0</v>
      </c>
      <c r="I31" s="1">
        <f t="shared" si="6"/>
        <v>0</v>
      </c>
      <c r="J31" s="1">
        <f t="shared" si="7"/>
        <v>0</v>
      </c>
      <c r="K31" s="1">
        <f t="shared" si="8"/>
        <v>0</v>
      </c>
      <c r="L31" s="1">
        <f t="shared" si="9"/>
        <v>0</v>
      </c>
      <c r="M31" s="1">
        <f t="shared" si="10"/>
        <v>0</v>
      </c>
      <c r="N31" s="1">
        <f t="shared" si="11"/>
        <v>0</v>
      </c>
      <c r="O31" s="1">
        <f t="shared" si="12"/>
        <v>0</v>
      </c>
      <c r="P31" s="1">
        <f t="shared" si="13"/>
        <v>0</v>
      </c>
      <c r="Q31" s="1">
        <f t="shared" si="14"/>
        <v>0</v>
      </c>
      <c r="R31" s="81">
        <f t="shared" si="19"/>
        <v>0</v>
      </c>
      <c r="S31">
        <f t="shared" si="16"/>
        <v>0</v>
      </c>
      <c r="T31">
        <f t="shared" si="17"/>
        <v>0</v>
      </c>
      <c r="X31" s="79">
        <v>8</v>
      </c>
      <c r="Y31" s="79">
        <v>0</v>
      </c>
      <c r="Z31" s="79">
        <v>0</v>
      </c>
      <c r="AI31" s="33" t="str">
        <f t="shared" si="21"/>
        <v>40</v>
      </c>
      <c r="AJ31" s="15" t="s">
        <v>53</v>
      </c>
      <c r="AK31" s="16">
        <v>999</v>
      </c>
      <c r="AL31" s="17">
        <v>1000</v>
      </c>
      <c r="AM31" s="17">
        <v>5</v>
      </c>
      <c r="AN31" s="74">
        <f t="shared" si="18"/>
        <v>5</v>
      </c>
    </row>
    <row r="32" spans="2:40" ht="28.05" customHeight="1" thickBot="1">
      <c r="B32" s="40" t="s">
        <v>103</v>
      </c>
      <c r="C32" s="47"/>
      <c r="D32" s="76"/>
      <c r="E32" s="8"/>
      <c r="F32" s="1" t="str">
        <f t="shared" si="1"/>
        <v>0</v>
      </c>
      <c r="G32" s="69">
        <f t="shared" si="4"/>
        <v>0</v>
      </c>
      <c r="H32" s="69">
        <f t="shared" si="5"/>
        <v>0</v>
      </c>
      <c r="I32" s="1">
        <f t="shared" si="6"/>
        <v>0</v>
      </c>
      <c r="J32" s="1">
        <f t="shared" si="7"/>
        <v>0</v>
      </c>
      <c r="K32" s="1">
        <f t="shared" si="8"/>
        <v>0</v>
      </c>
      <c r="L32" s="1">
        <f t="shared" si="9"/>
        <v>0</v>
      </c>
      <c r="M32" s="1">
        <f t="shared" si="10"/>
        <v>0</v>
      </c>
      <c r="N32" s="1">
        <f t="shared" si="11"/>
        <v>0</v>
      </c>
      <c r="O32" s="1">
        <f t="shared" si="12"/>
        <v>0</v>
      </c>
      <c r="P32" s="1">
        <f t="shared" si="13"/>
        <v>0</v>
      </c>
      <c r="Q32" s="1">
        <f t="shared" si="14"/>
        <v>0</v>
      </c>
      <c r="R32" s="81">
        <f t="shared" si="19"/>
        <v>0</v>
      </c>
      <c r="S32">
        <f t="shared" si="16"/>
        <v>0</v>
      </c>
      <c r="T32">
        <f t="shared" si="17"/>
        <v>0</v>
      </c>
      <c r="X32" s="79"/>
      <c r="Y32" s="79"/>
      <c r="Z32" s="79"/>
      <c r="AI32" s="33" t="str">
        <f>IF(C2="","",RIGHT(AI4,1))</f>
        <v>0</v>
      </c>
      <c r="AJ32" s="15" t="s">
        <v>54</v>
      </c>
      <c r="AK32" s="18">
        <v>9999</v>
      </c>
      <c r="AL32" s="17">
        <v>200</v>
      </c>
      <c r="AM32" s="17">
        <v>1</v>
      </c>
      <c r="AN32" s="74">
        <f t="shared" si="18"/>
        <v>1</v>
      </c>
    </row>
    <row r="33" spans="2:26" ht="28.05" customHeight="1">
      <c r="B33" s="40" t="s">
        <v>103</v>
      </c>
      <c r="C33" s="47"/>
      <c r="D33" s="76"/>
      <c r="E33" s="8"/>
      <c r="F33" s="1" t="str">
        <f t="shared" si="1"/>
        <v>0</v>
      </c>
      <c r="G33" s="69">
        <f t="shared" si="4"/>
        <v>0</v>
      </c>
      <c r="H33" s="69">
        <f t="shared" si="5"/>
        <v>0</v>
      </c>
      <c r="I33" s="1">
        <f t="shared" si="6"/>
        <v>0</v>
      </c>
      <c r="J33" s="1">
        <f t="shared" si="7"/>
        <v>0</v>
      </c>
      <c r="K33" s="1">
        <f t="shared" si="8"/>
        <v>0</v>
      </c>
      <c r="L33" s="1">
        <f t="shared" si="9"/>
        <v>0</v>
      </c>
      <c r="M33" s="1">
        <f t="shared" si="10"/>
        <v>0</v>
      </c>
      <c r="N33" s="1">
        <f t="shared" si="11"/>
        <v>0</v>
      </c>
      <c r="O33" s="1">
        <f t="shared" si="12"/>
        <v>0</v>
      </c>
      <c r="P33" s="1">
        <f t="shared" si="13"/>
        <v>0</v>
      </c>
      <c r="Q33" s="1">
        <f t="shared" si="14"/>
        <v>0</v>
      </c>
      <c r="R33" s="81">
        <f t="shared" si="19"/>
        <v>0</v>
      </c>
      <c r="S33">
        <f t="shared" si="16"/>
        <v>0</v>
      </c>
      <c r="T33">
        <f t="shared" si="17"/>
        <v>0</v>
      </c>
      <c r="X33" s="79"/>
      <c r="Y33" s="79"/>
      <c r="Z33" s="79"/>
    </row>
    <row r="34" spans="2:26" ht="28.05" customHeight="1">
      <c r="B34" s="40" t="s">
        <v>103</v>
      </c>
      <c r="C34" s="47"/>
      <c r="D34" s="76"/>
      <c r="E34" s="8"/>
      <c r="F34" s="1" t="str">
        <f t="shared" si="1"/>
        <v>0</v>
      </c>
      <c r="G34" s="69">
        <f t="shared" si="4"/>
        <v>0</v>
      </c>
      <c r="H34" s="69">
        <f t="shared" si="5"/>
        <v>0</v>
      </c>
      <c r="I34" s="1">
        <f t="shared" si="6"/>
        <v>0</v>
      </c>
      <c r="J34" s="1">
        <f t="shared" si="7"/>
        <v>0</v>
      </c>
      <c r="K34" s="1">
        <f t="shared" si="8"/>
        <v>0</v>
      </c>
      <c r="L34" s="1">
        <f t="shared" si="9"/>
        <v>0</v>
      </c>
      <c r="M34" s="1">
        <f t="shared" si="10"/>
        <v>0</v>
      </c>
      <c r="N34" s="1">
        <f t="shared" si="11"/>
        <v>0</v>
      </c>
      <c r="O34" s="1">
        <f t="shared" si="12"/>
        <v>0</v>
      </c>
      <c r="P34" s="1">
        <f t="shared" si="13"/>
        <v>0</v>
      </c>
      <c r="Q34" s="1">
        <f t="shared" si="14"/>
        <v>0</v>
      </c>
      <c r="R34" s="81">
        <f t="shared" si="19"/>
        <v>0</v>
      </c>
      <c r="S34">
        <f t="shared" si="16"/>
        <v>0</v>
      </c>
      <c r="T34">
        <f t="shared" si="17"/>
        <v>0</v>
      </c>
      <c r="X34" s="79"/>
      <c r="Y34" s="79"/>
      <c r="Z34" s="79"/>
    </row>
    <row r="35" spans="2:26" ht="28.05" customHeight="1">
      <c r="B35" s="40" t="s">
        <v>103</v>
      </c>
      <c r="C35" s="47"/>
      <c r="D35" s="76"/>
      <c r="E35" s="8"/>
      <c r="F35" s="1" t="str">
        <f t="shared" si="1"/>
        <v>0</v>
      </c>
      <c r="G35" s="69">
        <f t="shared" si="4"/>
        <v>0</v>
      </c>
      <c r="H35" s="69">
        <f t="shared" si="5"/>
        <v>0</v>
      </c>
      <c r="I35" s="1">
        <f t="shared" si="6"/>
        <v>0</v>
      </c>
      <c r="J35" s="1">
        <f t="shared" si="7"/>
        <v>0</v>
      </c>
      <c r="K35" s="1">
        <f t="shared" si="8"/>
        <v>0</v>
      </c>
      <c r="L35" s="1">
        <f t="shared" si="9"/>
        <v>0</v>
      </c>
      <c r="M35" s="1">
        <f t="shared" si="10"/>
        <v>0</v>
      </c>
      <c r="N35" s="1">
        <f t="shared" si="11"/>
        <v>0</v>
      </c>
      <c r="O35" s="1">
        <f t="shared" si="12"/>
        <v>0</v>
      </c>
      <c r="P35" s="1">
        <f t="shared" si="13"/>
        <v>0</v>
      </c>
      <c r="Q35" s="1">
        <f t="shared" si="14"/>
        <v>0</v>
      </c>
      <c r="R35" s="81">
        <f t="shared" si="19"/>
        <v>0</v>
      </c>
      <c r="S35">
        <f t="shared" si="16"/>
        <v>0</v>
      </c>
      <c r="T35">
        <f t="shared" si="17"/>
        <v>0</v>
      </c>
      <c r="X35" s="79"/>
      <c r="Y35" s="79"/>
      <c r="Z35" s="79"/>
    </row>
    <row r="36" spans="2:26" ht="28.05" customHeight="1">
      <c r="B36" s="40" t="s">
        <v>103</v>
      </c>
      <c r="C36" s="47"/>
      <c r="D36" s="76"/>
      <c r="E36" s="8"/>
      <c r="F36" s="1" t="str">
        <f t="shared" si="1"/>
        <v>0</v>
      </c>
      <c r="G36" s="69">
        <f t="shared" si="4"/>
        <v>0</v>
      </c>
      <c r="H36" s="69">
        <f t="shared" si="5"/>
        <v>0</v>
      </c>
      <c r="I36" s="1">
        <f t="shared" si="6"/>
        <v>0</v>
      </c>
      <c r="J36" s="1">
        <f t="shared" si="7"/>
        <v>0</v>
      </c>
      <c r="K36" s="1">
        <f t="shared" si="8"/>
        <v>0</v>
      </c>
      <c r="L36" s="1">
        <f t="shared" si="9"/>
        <v>0</v>
      </c>
      <c r="M36" s="1">
        <f t="shared" si="10"/>
        <v>0</v>
      </c>
      <c r="N36" s="1">
        <f t="shared" si="11"/>
        <v>0</v>
      </c>
      <c r="O36" s="1">
        <f t="shared" si="12"/>
        <v>0</v>
      </c>
      <c r="P36" s="1">
        <f t="shared" si="13"/>
        <v>0</v>
      </c>
      <c r="Q36" s="1">
        <f t="shared" si="14"/>
        <v>0</v>
      </c>
      <c r="R36" s="81">
        <f t="shared" si="19"/>
        <v>0</v>
      </c>
      <c r="S36">
        <f t="shared" si="16"/>
        <v>0</v>
      </c>
      <c r="T36">
        <f t="shared" si="17"/>
        <v>0</v>
      </c>
      <c r="X36" s="79"/>
      <c r="Y36" s="79"/>
      <c r="Z36" s="79"/>
    </row>
    <row r="37" spans="2:26" ht="28.05" customHeight="1">
      <c r="B37" s="40" t="s">
        <v>103</v>
      </c>
      <c r="C37" s="47"/>
      <c r="D37" s="76"/>
      <c r="E37" s="8"/>
      <c r="F37" s="1" t="str">
        <f t="shared" si="1"/>
        <v>0</v>
      </c>
      <c r="G37" s="69">
        <f t="shared" si="4"/>
        <v>0</v>
      </c>
      <c r="H37" s="69">
        <f t="shared" si="5"/>
        <v>0</v>
      </c>
      <c r="I37" s="1">
        <f t="shared" si="6"/>
        <v>0</v>
      </c>
      <c r="J37" s="1">
        <f t="shared" si="7"/>
        <v>0</v>
      </c>
      <c r="K37" s="1">
        <f t="shared" si="8"/>
        <v>0</v>
      </c>
      <c r="L37" s="1">
        <f t="shared" si="9"/>
        <v>0</v>
      </c>
      <c r="M37" s="1">
        <f t="shared" si="10"/>
        <v>0</v>
      </c>
      <c r="N37" s="1">
        <f t="shared" si="11"/>
        <v>0</v>
      </c>
      <c r="O37" s="1">
        <f t="shared" si="12"/>
        <v>0</v>
      </c>
      <c r="P37" s="1">
        <f t="shared" si="13"/>
        <v>0</v>
      </c>
      <c r="Q37" s="1">
        <f t="shared" si="14"/>
        <v>0</v>
      </c>
      <c r="R37" s="81">
        <f t="shared" si="19"/>
        <v>0</v>
      </c>
      <c r="S37">
        <f t="shared" si="16"/>
        <v>0</v>
      </c>
      <c r="T37">
        <f t="shared" si="17"/>
        <v>0</v>
      </c>
      <c r="X37" s="79"/>
      <c r="Y37" s="79"/>
      <c r="Z37" s="79"/>
    </row>
    <row r="38" spans="2:26" ht="28.05" customHeight="1">
      <c r="B38" s="40" t="s">
        <v>103</v>
      </c>
      <c r="C38" s="47"/>
      <c r="D38" s="76"/>
      <c r="E38" s="8"/>
      <c r="F38" s="1" t="str">
        <f t="shared" si="1"/>
        <v>0</v>
      </c>
      <c r="G38" s="69">
        <f t="shared" si="4"/>
        <v>0</v>
      </c>
      <c r="H38" s="69">
        <f t="shared" si="5"/>
        <v>0</v>
      </c>
      <c r="I38" s="1">
        <f t="shared" si="6"/>
        <v>0</v>
      </c>
      <c r="J38" s="1">
        <f t="shared" si="7"/>
        <v>0</v>
      </c>
      <c r="K38" s="1">
        <f t="shared" si="8"/>
        <v>0</v>
      </c>
      <c r="L38" s="1">
        <f t="shared" si="9"/>
        <v>0</v>
      </c>
      <c r="M38" s="1">
        <f t="shared" si="10"/>
        <v>0</v>
      </c>
      <c r="N38" s="1">
        <f t="shared" si="11"/>
        <v>0</v>
      </c>
      <c r="O38" s="1">
        <f t="shared" si="12"/>
        <v>0</v>
      </c>
      <c r="P38" s="1">
        <f t="shared" si="13"/>
        <v>0</v>
      </c>
      <c r="Q38" s="1">
        <f t="shared" si="14"/>
        <v>0</v>
      </c>
      <c r="R38" s="81">
        <f t="shared" si="19"/>
        <v>0</v>
      </c>
      <c r="S38">
        <f t="shared" si="16"/>
        <v>0</v>
      </c>
      <c r="T38">
        <f t="shared" si="17"/>
        <v>0</v>
      </c>
      <c r="X38" s="79"/>
      <c r="Y38" s="79"/>
      <c r="Z38" s="79"/>
    </row>
    <row r="39" spans="2:26" ht="28.05" customHeight="1">
      <c r="B39" s="40" t="s">
        <v>103</v>
      </c>
      <c r="C39" s="47"/>
      <c r="D39" s="76"/>
      <c r="E39" s="8"/>
      <c r="F39" s="1" t="str">
        <f t="shared" si="1"/>
        <v>0</v>
      </c>
      <c r="G39" s="69">
        <f t="shared" si="4"/>
        <v>0</v>
      </c>
      <c r="H39" s="69">
        <f t="shared" si="5"/>
        <v>0</v>
      </c>
      <c r="I39" s="1">
        <f t="shared" si="6"/>
        <v>0</v>
      </c>
      <c r="J39" s="1">
        <f t="shared" si="7"/>
        <v>0</v>
      </c>
      <c r="K39" s="1">
        <f t="shared" si="8"/>
        <v>0</v>
      </c>
      <c r="L39" s="1">
        <f t="shared" si="9"/>
        <v>0</v>
      </c>
      <c r="M39" s="1">
        <f t="shared" si="10"/>
        <v>0</v>
      </c>
      <c r="N39" s="1">
        <f t="shared" si="11"/>
        <v>0</v>
      </c>
      <c r="O39" s="1">
        <f t="shared" si="12"/>
        <v>0</v>
      </c>
      <c r="P39" s="1">
        <f t="shared" si="13"/>
        <v>0</v>
      </c>
      <c r="Q39" s="1">
        <f t="shared" si="14"/>
        <v>0</v>
      </c>
      <c r="R39" s="81">
        <f t="shared" si="19"/>
        <v>0</v>
      </c>
      <c r="S39">
        <f t="shared" si="16"/>
        <v>0</v>
      </c>
      <c r="T39">
        <f t="shared" si="17"/>
        <v>0</v>
      </c>
      <c r="X39" s="79"/>
      <c r="Y39" s="79"/>
      <c r="Z39" s="79"/>
    </row>
    <row r="40" spans="2:26" ht="28.05" customHeight="1">
      <c r="B40" s="40" t="s">
        <v>103</v>
      </c>
      <c r="C40" s="47"/>
      <c r="D40" s="76"/>
      <c r="E40" s="8"/>
      <c r="F40" s="1" t="str">
        <f t="shared" si="1"/>
        <v>0</v>
      </c>
      <c r="G40" s="69">
        <f t="shared" si="4"/>
        <v>0</v>
      </c>
      <c r="H40" s="69">
        <f t="shared" si="5"/>
        <v>0</v>
      </c>
      <c r="I40" s="1">
        <f t="shared" si="6"/>
        <v>0</v>
      </c>
      <c r="J40" s="1">
        <f t="shared" si="7"/>
        <v>0</v>
      </c>
      <c r="K40" s="1">
        <f t="shared" si="8"/>
        <v>0</v>
      </c>
      <c r="L40" s="1">
        <f t="shared" si="9"/>
        <v>0</v>
      </c>
      <c r="M40" s="1">
        <f t="shared" si="10"/>
        <v>0</v>
      </c>
      <c r="N40" s="1">
        <f t="shared" si="11"/>
        <v>0</v>
      </c>
      <c r="O40" s="1">
        <f t="shared" si="12"/>
        <v>0</v>
      </c>
      <c r="P40" s="1">
        <f t="shared" si="13"/>
        <v>0</v>
      </c>
      <c r="Q40" s="1">
        <f t="shared" si="14"/>
        <v>0</v>
      </c>
      <c r="R40" s="81">
        <f t="shared" si="19"/>
        <v>0</v>
      </c>
      <c r="S40">
        <f t="shared" si="16"/>
        <v>0</v>
      </c>
      <c r="T40">
        <f t="shared" si="17"/>
        <v>0</v>
      </c>
      <c r="X40" s="79"/>
      <c r="Y40" s="79"/>
      <c r="Z40" s="79"/>
    </row>
    <row r="41" spans="2:26" ht="28.05" customHeight="1">
      <c r="B41" s="40" t="s">
        <v>103</v>
      </c>
      <c r="C41" s="47"/>
      <c r="D41" s="76"/>
      <c r="E41" s="8"/>
      <c r="F41" s="1" t="str">
        <f t="shared" si="1"/>
        <v>0</v>
      </c>
      <c r="G41" s="69">
        <f t="shared" si="4"/>
        <v>0</v>
      </c>
      <c r="H41" s="69">
        <f t="shared" si="5"/>
        <v>0</v>
      </c>
      <c r="I41" s="1">
        <f t="shared" si="6"/>
        <v>0</v>
      </c>
      <c r="J41" s="1">
        <f t="shared" si="7"/>
        <v>0</v>
      </c>
      <c r="K41" s="1">
        <f t="shared" si="8"/>
        <v>0</v>
      </c>
      <c r="L41" s="1">
        <f t="shared" si="9"/>
        <v>0</v>
      </c>
      <c r="M41" s="1">
        <f t="shared" si="10"/>
        <v>0</v>
      </c>
      <c r="N41" s="1">
        <f t="shared" si="11"/>
        <v>0</v>
      </c>
      <c r="O41" s="1">
        <f t="shared" si="12"/>
        <v>0</v>
      </c>
      <c r="P41" s="1">
        <f t="shared" si="13"/>
        <v>0</v>
      </c>
      <c r="Q41" s="1">
        <f t="shared" si="14"/>
        <v>0</v>
      </c>
      <c r="R41" s="81">
        <f t="shared" si="19"/>
        <v>0</v>
      </c>
      <c r="S41">
        <f t="shared" si="16"/>
        <v>0</v>
      </c>
      <c r="T41">
        <f t="shared" si="17"/>
        <v>0</v>
      </c>
      <c r="X41" s="79"/>
      <c r="Y41" s="79"/>
      <c r="Z41" s="79"/>
    </row>
    <row r="42" spans="2:26" ht="28.05" customHeight="1">
      <c r="B42" s="40" t="s">
        <v>103</v>
      </c>
      <c r="C42" s="47"/>
      <c r="D42" s="76"/>
      <c r="E42" s="8"/>
      <c r="F42" s="1" t="str">
        <f t="shared" si="1"/>
        <v>0</v>
      </c>
      <c r="G42" s="69">
        <f t="shared" si="4"/>
        <v>0</v>
      </c>
      <c r="H42" s="69">
        <f t="shared" si="5"/>
        <v>0</v>
      </c>
      <c r="I42" s="1">
        <f t="shared" si="6"/>
        <v>0</v>
      </c>
      <c r="J42" s="1">
        <f t="shared" si="7"/>
        <v>0</v>
      </c>
      <c r="K42" s="1">
        <f t="shared" si="8"/>
        <v>0</v>
      </c>
      <c r="L42" s="1">
        <f t="shared" si="9"/>
        <v>0</v>
      </c>
      <c r="M42" s="1">
        <f t="shared" si="10"/>
        <v>0</v>
      </c>
      <c r="N42" s="1">
        <f t="shared" si="11"/>
        <v>0</v>
      </c>
      <c r="O42" s="1">
        <f t="shared" si="12"/>
        <v>0</v>
      </c>
      <c r="P42" s="1">
        <f t="shared" si="13"/>
        <v>0</v>
      </c>
      <c r="Q42" s="1">
        <f t="shared" si="14"/>
        <v>0</v>
      </c>
      <c r="R42" s="81">
        <f t="shared" si="19"/>
        <v>0</v>
      </c>
      <c r="S42">
        <f t="shared" si="16"/>
        <v>0</v>
      </c>
      <c r="T42">
        <f t="shared" si="17"/>
        <v>0</v>
      </c>
      <c r="X42" s="79"/>
      <c r="Y42" s="79"/>
      <c r="Z42" s="79"/>
    </row>
    <row r="43" spans="2:26" ht="28.05" customHeight="1">
      <c r="B43" s="40" t="s">
        <v>103</v>
      </c>
      <c r="C43" s="47"/>
      <c r="D43" s="76"/>
      <c r="E43" s="8"/>
      <c r="F43" s="1" t="str">
        <f t="shared" si="1"/>
        <v>0</v>
      </c>
      <c r="G43" s="69">
        <f t="shared" si="4"/>
        <v>0</v>
      </c>
      <c r="H43" s="69">
        <f t="shared" si="5"/>
        <v>0</v>
      </c>
      <c r="I43" s="1">
        <f t="shared" si="6"/>
        <v>0</v>
      </c>
      <c r="J43" s="1">
        <f t="shared" si="7"/>
        <v>0</v>
      </c>
      <c r="K43" s="1">
        <f t="shared" si="8"/>
        <v>0</v>
      </c>
      <c r="L43" s="1">
        <f t="shared" si="9"/>
        <v>0</v>
      </c>
      <c r="M43" s="1">
        <f t="shared" si="10"/>
        <v>0</v>
      </c>
      <c r="N43" s="1">
        <f t="shared" si="11"/>
        <v>0</v>
      </c>
      <c r="O43" s="1">
        <f t="shared" si="12"/>
        <v>0</v>
      </c>
      <c r="P43" s="1">
        <f t="shared" si="13"/>
        <v>0</v>
      </c>
      <c r="Q43" s="1">
        <f t="shared" si="14"/>
        <v>0</v>
      </c>
      <c r="R43" s="81">
        <f t="shared" si="19"/>
        <v>0</v>
      </c>
      <c r="S43">
        <f t="shared" si="16"/>
        <v>0</v>
      </c>
      <c r="T43">
        <f t="shared" si="17"/>
        <v>0</v>
      </c>
      <c r="X43" s="79"/>
      <c r="Y43" s="79"/>
      <c r="Z43" s="79"/>
    </row>
    <row r="44" spans="2:26" ht="28.05" customHeight="1">
      <c r="B44" s="40" t="s">
        <v>103</v>
      </c>
      <c r="C44" s="47"/>
      <c r="D44" s="76"/>
      <c r="E44" s="8"/>
      <c r="F44" s="1" t="str">
        <f t="shared" si="1"/>
        <v>0</v>
      </c>
      <c r="G44" s="69">
        <f t="shared" si="4"/>
        <v>0</v>
      </c>
      <c r="H44" s="69">
        <f t="shared" si="5"/>
        <v>0</v>
      </c>
      <c r="I44" s="1">
        <f t="shared" si="6"/>
        <v>0</v>
      </c>
      <c r="J44" s="1">
        <f t="shared" si="7"/>
        <v>0</v>
      </c>
      <c r="K44" s="1">
        <f t="shared" si="8"/>
        <v>0</v>
      </c>
      <c r="L44" s="1">
        <f t="shared" si="9"/>
        <v>0</v>
      </c>
      <c r="M44" s="1">
        <f t="shared" si="10"/>
        <v>0</v>
      </c>
      <c r="N44" s="1">
        <f t="shared" si="11"/>
        <v>0</v>
      </c>
      <c r="O44" s="1">
        <f t="shared" si="12"/>
        <v>0</v>
      </c>
      <c r="P44" s="1">
        <f t="shared" si="13"/>
        <v>0</v>
      </c>
      <c r="Q44" s="1">
        <f t="shared" si="14"/>
        <v>0</v>
      </c>
      <c r="R44" s="81">
        <f t="shared" si="19"/>
        <v>0</v>
      </c>
      <c r="S44">
        <f t="shared" si="16"/>
        <v>0</v>
      </c>
      <c r="T44">
        <f t="shared" si="17"/>
        <v>0</v>
      </c>
      <c r="X44" s="79"/>
      <c r="Y44" s="79"/>
      <c r="Z44" s="79"/>
    </row>
  </sheetData>
  <mergeCells count="4">
    <mergeCell ref="R1:S2"/>
    <mergeCell ref="U1:V1"/>
    <mergeCell ref="X1:AE1"/>
    <mergeCell ref="B4:C4"/>
  </mergeCells>
  <conditionalFormatting sqref="V6:V15">
    <cfRule type="aboveAverage" dxfId="3" priority="1" aboveAverage="0"/>
    <cfRule type="aboveAverage" dxfId="2" priority="2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CFF79-AFF9-4784-BBF4-3108E0CAFECF}">
  <sheetPr codeName="Hoja5"/>
  <dimension ref="A1:AN44"/>
  <sheetViews>
    <sheetView showGridLines="0" zoomScaleNormal="100" workbookViewId="0">
      <pane ySplit="5" topLeftCell="A6" activePane="bottomLeft" state="frozen"/>
      <selection pane="bottomLeft" activeCell="E4" sqref="E4"/>
    </sheetView>
  </sheetViews>
  <sheetFormatPr baseColWidth="10" defaultRowHeight="14.4"/>
  <cols>
    <col min="1" max="1" width="0.6640625" customWidth="1"/>
    <col min="2" max="2" width="8.5546875" style="2" customWidth="1"/>
    <col min="3" max="3" width="12.77734375" style="2" customWidth="1"/>
    <col min="4" max="4" width="25.21875" customWidth="1"/>
    <col min="5" max="5" width="14.88671875" style="2" customWidth="1"/>
    <col min="6" max="6" width="7.21875" hidden="1" customWidth="1"/>
    <col min="7" max="7" width="16.5546875" hidden="1" customWidth="1"/>
    <col min="8" max="8" width="8.77734375" hidden="1" customWidth="1"/>
    <col min="9" max="9" width="7.5546875" hidden="1" customWidth="1"/>
    <col min="10" max="11" width="9.33203125" hidden="1" customWidth="1"/>
    <col min="12" max="13" width="8.77734375" hidden="1" customWidth="1"/>
    <col min="14" max="14" width="15.77734375" hidden="1" customWidth="1"/>
    <col min="15" max="15" width="14.21875" hidden="1" customWidth="1"/>
    <col min="16" max="16" width="11.44140625" hidden="1" customWidth="1"/>
    <col min="17" max="17" width="5.33203125" hidden="1" customWidth="1"/>
    <col min="18" max="18" width="18.21875" style="56" customWidth="1"/>
    <col min="19" max="19" width="11.44140625" hidden="1" customWidth="1"/>
    <col min="20" max="20" width="11.88671875" hidden="1" customWidth="1"/>
    <col min="21" max="21" width="19.44140625" style="2" customWidth="1"/>
    <col min="22" max="22" width="20.21875" customWidth="1"/>
    <col min="23" max="23" width="2.21875" customWidth="1"/>
    <col min="35" max="35" width="15.5546875" customWidth="1"/>
    <col min="38" max="38" width="16" customWidth="1"/>
    <col min="40" max="40" width="22.77734375" customWidth="1"/>
  </cols>
  <sheetData>
    <row r="1" spans="1:40" s="2" customFormat="1" ht="25.8">
      <c r="C1" s="49" t="s">
        <v>67</v>
      </c>
      <c r="D1" s="48" t="s">
        <v>96</v>
      </c>
      <c r="E1" s="48" t="s">
        <v>80</v>
      </c>
      <c r="R1" s="85"/>
      <c r="S1" s="85"/>
      <c r="T1" s="44"/>
      <c r="U1" s="86" t="s">
        <v>81</v>
      </c>
      <c r="V1" s="86"/>
      <c r="X1" s="86" t="s">
        <v>82</v>
      </c>
      <c r="Y1" s="86"/>
      <c r="Z1" s="86"/>
      <c r="AA1" s="86"/>
      <c r="AB1" s="86"/>
      <c r="AC1" s="86"/>
      <c r="AD1" s="86"/>
      <c r="AE1" s="86"/>
    </row>
    <row r="2" spans="1:40" s="43" customFormat="1" ht="28.5" customHeight="1" thickBot="1">
      <c r="C2" s="68">
        <v>88008</v>
      </c>
      <c r="D2" s="70">
        <v>58303</v>
      </c>
      <c r="E2" s="71">
        <v>31938</v>
      </c>
      <c r="R2" s="85"/>
      <c r="S2" s="85"/>
      <c r="T2" s="44"/>
      <c r="U2" s="72">
        <v>93361</v>
      </c>
      <c r="V2" s="72">
        <v>41147</v>
      </c>
      <c r="W2" s="65"/>
      <c r="X2" s="72">
        <v>54274</v>
      </c>
      <c r="Y2" s="72">
        <v>45353</v>
      </c>
      <c r="Z2" s="72">
        <v>88979</v>
      </c>
      <c r="AA2" s="72">
        <v>92023</v>
      </c>
      <c r="AB2" s="72">
        <v>1568</v>
      </c>
      <c r="AC2" s="72">
        <v>57421</v>
      </c>
      <c r="AD2" s="72">
        <v>37038</v>
      </c>
      <c r="AE2" s="72">
        <v>86007</v>
      </c>
    </row>
    <row r="3" spans="1:40" ht="36.6" customHeight="1" thickBot="1">
      <c r="E3" s="53" t="s">
        <v>90</v>
      </c>
      <c r="U3" s="75" t="s">
        <v>126</v>
      </c>
      <c r="V3" s="52"/>
      <c r="AI3" s="33" t="s">
        <v>68</v>
      </c>
      <c r="AJ3" s="14" t="s">
        <v>40</v>
      </c>
      <c r="AK3" s="14" t="s">
        <v>56</v>
      </c>
      <c r="AL3" s="14" t="s">
        <v>41</v>
      </c>
      <c r="AM3" s="14" t="s">
        <v>42</v>
      </c>
      <c r="AN3" s="73" t="s">
        <v>107</v>
      </c>
    </row>
    <row r="4" spans="1:40" ht="46.5" customHeight="1" thickBot="1">
      <c r="A4" s="51"/>
      <c r="B4" s="87" t="s">
        <v>93</v>
      </c>
      <c r="C4" s="88"/>
      <c r="D4" s="50" t="s">
        <v>91</v>
      </c>
      <c r="E4" s="51">
        <f>SUM(E6:E44)</f>
        <v>308</v>
      </c>
      <c r="G4" s="12" t="s">
        <v>67</v>
      </c>
      <c r="H4" s="12" t="s">
        <v>69</v>
      </c>
      <c r="I4" s="12" t="s">
        <v>70</v>
      </c>
      <c r="J4" s="32" t="s">
        <v>71</v>
      </c>
      <c r="K4" s="12" t="s">
        <v>72</v>
      </c>
      <c r="L4" s="12" t="s">
        <v>73</v>
      </c>
      <c r="M4" s="12" t="s">
        <v>55</v>
      </c>
      <c r="N4" s="12" t="s">
        <v>75</v>
      </c>
      <c r="O4" s="39" t="s">
        <v>76</v>
      </c>
      <c r="P4" s="39" t="s">
        <v>77</v>
      </c>
      <c r="Q4" s="12" t="s">
        <v>78</v>
      </c>
      <c r="R4" s="57" t="s">
        <v>79</v>
      </c>
      <c r="S4" s="54"/>
      <c r="T4" s="54"/>
      <c r="U4" s="55">
        <f>SUM(R6:R44)</f>
        <v>112</v>
      </c>
      <c r="V4" s="55"/>
      <c r="X4" s="78">
        <f>SUM(X6:X44)</f>
        <v>258</v>
      </c>
      <c r="Y4" s="78">
        <f>SUM(Y6:Y44)</f>
        <v>61</v>
      </c>
      <c r="Z4" s="78">
        <f>SUM(Z6:Z44)</f>
        <v>111</v>
      </c>
      <c r="AA4" s="78">
        <f>X4-Y4+Z4</f>
        <v>308</v>
      </c>
      <c r="AI4" s="2">
        <f>IF(C2="",0,C2)</f>
        <v>88008</v>
      </c>
      <c r="AJ4" s="15" t="s">
        <v>43</v>
      </c>
      <c r="AK4" s="16">
        <v>1</v>
      </c>
      <c r="AL4" s="17">
        <v>4000000</v>
      </c>
      <c r="AM4" s="17">
        <v>20000</v>
      </c>
      <c r="AN4" s="74">
        <f>(40000+(AL4/10-40000)-(AL4/10-40000)*20%)/20</f>
        <v>16400</v>
      </c>
    </row>
    <row r="5" spans="1:40" ht="29.4" thickBot="1">
      <c r="B5" s="60" t="s">
        <v>55</v>
      </c>
      <c r="C5" s="3" t="s">
        <v>0</v>
      </c>
      <c r="D5" s="3" t="s">
        <v>1</v>
      </c>
      <c r="E5" s="77" t="s">
        <v>121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58"/>
      <c r="S5" t="s">
        <v>85</v>
      </c>
      <c r="U5" s="4" t="s">
        <v>16</v>
      </c>
      <c r="V5" s="4" t="s">
        <v>11</v>
      </c>
      <c r="W5" s="41"/>
      <c r="X5" s="80" t="s">
        <v>120</v>
      </c>
      <c r="Y5" s="80" t="s">
        <v>122</v>
      </c>
      <c r="Z5" s="80" t="s">
        <v>123</v>
      </c>
      <c r="AI5" s="2">
        <f>IF(D2="",0,D2)</f>
        <v>58303</v>
      </c>
      <c r="AJ5" s="15" t="s">
        <v>44</v>
      </c>
      <c r="AK5" s="16">
        <v>1</v>
      </c>
      <c r="AL5" s="17">
        <v>1250000</v>
      </c>
      <c r="AM5" s="17">
        <v>6250</v>
      </c>
      <c r="AN5" s="74">
        <f t="shared" ref="AN5:AN6" si="0">(40000+(AL5/10-40000)-(AL5/10-40000)*20%)/20</f>
        <v>5400</v>
      </c>
    </row>
    <row r="6" spans="1:40" ht="28.05" customHeight="1" thickBot="1">
      <c r="B6" s="40" t="s">
        <v>89</v>
      </c>
      <c r="C6" s="47">
        <v>10082</v>
      </c>
      <c r="D6" s="76" t="s">
        <v>106</v>
      </c>
      <c r="E6" s="8">
        <v>5</v>
      </c>
      <c r="F6" s="1" t="str">
        <f t="shared" ref="F6:F44" si="1">RIGHT(TEXT(C6,0),1)</f>
        <v>2</v>
      </c>
      <c r="G6" s="69">
        <f>IF(C6=$AI$4,$AM$4*E6,0)</f>
        <v>0</v>
      </c>
      <c r="H6" s="69">
        <f>IF(C6=$AI$5,$AM$5*E6,0)</f>
        <v>0</v>
      </c>
      <c r="I6" s="1">
        <f>IF(C6=$AI$6,$AM$6*E6,0)</f>
        <v>0</v>
      </c>
      <c r="J6" s="1">
        <f>IF(C6=$AI$7,$AM$7*E6,0)</f>
        <v>0</v>
      </c>
      <c r="K6" s="1">
        <f>IF(C6=$AI$8,$AM$8*E6,0)</f>
        <v>0</v>
      </c>
      <c r="L6" s="1">
        <f>IF(COUNTIF($AI$9:$AI$16,C6),E6*$AM$9,0)</f>
        <v>0</v>
      </c>
      <c r="M6" s="1">
        <f>IF(B6="SI",E6*$AM$17,0)</f>
        <v>0</v>
      </c>
      <c r="N6" s="1">
        <f>IFERROR(INDEX($AI$18:$AM$23,MATCH(C6,$AI$18:$AI$23,0),5)*E6,0)</f>
        <v>0</v>
      </c>
      <c r="O6" s="1">
        <f>IF(C6&lt;&gt;$C$2,IFERROR(INDEX($AI$24:$AM$28,MATCH(LEFT(C6,3),$AI$24:$AI$28,0),5)*E6,0),0)</f>
        <v>0</v>
      </c>
      <c r="P6" s="1">
        <f>IF(C6&lt;&gt;$C$2,IF(C6&lt;&gt;$D$2,IFERROR(INDEX($AI$29:$AM$31,MATCH(RIGHT(C6,2),$AI$29:$AI$31,0),5)*E6,0)))</f>
        <v>0</v>
      </c>
      <c r="Q6" s="1">
        <f>IF(C6&lt;&gt;$C$2,IFERROR(INDEX($AI$32:$AM$32,MATCH(RIGHT(C6,1),$AI$32:$AI$32,0),5)*E6,0),0)</f>
        <v>0</v>
      </c>
      <c r="R6" s="81">
        <f>SUM(G6:Q6)</f>
        <v>0</v>
      </c>
      <c r="S6">
        <f>IF(R6&gt;40000,((R6-40000)*20%),0)</f>
        <v>0</v>
      </c>
      <c r="T6">
        <f>R6-S6</f>
        <v>0</v>
      </c>
      <c r="U6" s="45">
        <v>0</v>
      </c>
      <c r="V6" s="46">
        <f t="shared" ref="V6:V15" si="2">SUMIF($F$6:$F$44,U6,$E$6:$E$45)</f>
        <v>25</v>
      </c>
      <c r="W6" s="42"/>
      <c r="X6" s="79">
        <v>0</v>
      </c>
      <c r="Y6" s="79">
        <v>0</v>
      </c>
      <c r="Z6" s="79">
        <v>5</v>
      </c>
      <c r="AI6" s="2">
        <f>IF(E2="",0,E2)</f>
        <v>31938</v>
      </c>
      <c r="AJ6" s="15" t="s">
        <v>45</v>
      </c>
      <c r="AK6" s="16">
        <v>1</v>
      </c>
      <c r="AL6" s="17">
        <v>500000</v>
      </c>
      <c r="AM6" s="17">
        <v>2500</v>
      </c>
      <c r="AN6" s="74">
        <f t="shared" si="0"/>
        <v>2400</v>
      </c>
    </row>
    <row r="7" spans="1:40" ht="28.05" customHeight="1" thickBot="1">
      <c r="B7" s="40" t="s">
        <v>103</v>
      </c>
      <c r="C7" s="47">
        <v>16755</v>
      </c>
      <c r="D7" s="76" t="s">
        <v>98</v>
      </c>
      <c r="E7" s="8">
        <v>20</v>
      </c>
      <c r="F7" s="1" t="str">
        <f t="shared" si="1"/>
        <v>5</v>
      </c>
      <c r="G7" s="69">
        <f t="shared" ref="G7:G44" si="3">IF(C7=$AI$4,$AM$4*E7,0)</f>
        <v>0</v>
      </c>
      <c r="H7" s="69">
        <f t="shared" ref="H7:H44" si="4">IF(C7=$AI$5,$AM$5*E7,0)</f>
        <v>0</v>
      </c>
      <c r="I7" s="1">
        <f t="shared" ref="I7:I44" si="5">IF(C7=$AI$6,$AM$6*E7,0)</f>
        <v>0</v>
      </c>
      <c r="J7" s="1">
        <f t="shared" ref="J7:J44" si="6">IF(C7=$AI$7,$AM$7*E7,0)</f>
        <v>0</v>
      </c>
      <c r="K7" s="1">
        <f t="shared" ref="K7:K44" si="7">IF(C7=$AI$8,$AM$8*E7,0)</f>
        <v>0</v>
      </c>
      <c r="L7" s="1">
        <f t="shared" ref="L7:L44" si="8">IF(COUNTIF($AI$9:$AI$16,C7),E7*$AM$9,0)</f>
        <v>0</v>
      </c>
      <c r="M7" s="1">
        <f t="shared" ref="M7:M44" si="9">IF(B7="SI",E7*$AM$17,0)</f>
        <v>0</v>
      </c>
      <c r="N7" s="1">
        <f t="shared" ref="N7:N44" si="10">IFERROR(INDEX($AI$18:$AM$23,MATCH(C7,$AI$18:$AI$23,0),5)*E7,0)</f>
        <v>0</v>
      </c>
      <c r="O7" s="1">
        <f t="shared" ref="O7:O44" si="11">IF(C7&lt;&gt;$C$2,IFERROR(INDEX($AI$24:$AM$28,MATCH(LEFT(C7,3),$AI$24:$AI$28,0),5)*E7,0),0)</f>
        <v>0</v>
      </c>
      <c r="P7" s="1">
        <f t="shared" ref="P7:P44" si="12">IF(C7&lt;&gt;$C$2,IF(C7&lt;&gt;$D$2,IFERROR(INDEX($AI$29:$AM$31,MATCH(RIGHT(C7,2),$AI$29:$AI$31,0),5)*E7,0)))</f>
        <v>0</v>
      </c>
      <c r="Q7" s="1">
        <f t="shared" ref="Q7:Q44" si="13">IF(C7&lt;&gt;$C$2,IFERROR(INDEX($AI$32:$AM$32,MATCH(RIGHT(C7,1),$AI$32:$AI$32,0),5)*E7,0),0)</f>
        <v>0</v>
      </c>
      <c r="R7" s="81">
        <f t="shared" ref="R7:R44" si="14">SUM(G7:Q7)</f>
        <v>0</v>
      </c>
      <c r="S7">
        <f>IF(R7&gt;40000,((R7-40000)*20%),0)</f>
        <v>0</v>
      </c>
      <c r="T7">
        <f>R7-S7</f>
        <v>0</v>
      </c>
      <c r="U7" s="45">
        <v>1</v>
      </c>
      <c r="V7" s="46">
        <f t="shared" si="2"/>
        <v>28</v>
      </c>
      <c r="W7" s="42"/>
      <c r="X7" s="79">
        <v>20</v>
      </c>
      <c r="Y7" s="79">
        <v>0</v>
      </c>
      <c r="Z7" s="79">
        <v>0</v>
      </c>
      <c r="AI7" s="66">
        <f>U2</f>
        <v>93361</v>
      </c>
      <c r="AJ7" s="35" t="s">
        <v>46</v>
      </c>
      <c r="AK7" s="36">
        <v>1</v>
      </c>
      <c r="AL7" s="37">
        <v>200000</v>
      </c>
      <c r="AM7" s="37">
        <v>1000</v>
      </c>
      <c r="AN7" s="74">
        <v>1000</v>
      </c>
    </row>
    <row r="8" spans="1:40" ht="28.05" customHeight="1" thickBot="1">
      <c r="B8" s="40" t="s">
        <v>103</v>
      </c>
      <c r="C8" s="47">
        <v>18458</v>
      </c>
      <c r="D8" s="76" t="s">
        <v>110</v>
      </c>
      <c r="E8" s="8">
        <v>34</v>
      </c>
      <c r="F8" s="1" t="str">
        <f t="shared" si="1"/>
        <v>8</v>
      </c>
      <c r="G8" s="69">
        <f t="shared" si="3"/>
        <v>0</v>
      </c>
      <c r="H8" s="69">
        <f t="shared" si="4"/>
        <v>0</v>
      </c>
      <c r="I8" s="1">
        <f t="shared" si="5"/>
        <v>0</v>
      </c>
      <c r="J8" s="1">
        <f t="shared" si="6"/>
        <v>0</v>
      </c>
      <c r="K8" s="1">
        <f t="shared" si="7"/>
        <v>0</v>
      </c>
      <c r="L8" s="1">
        <f t="shared" si="8"/>
        <v>0</v>
      </c>
      <c r="M8" s="1">
        <f t="shared" si="9"/>
        <v>0</v>
      </c>
      <c r="N8" s="1">
        <f t="shared" si="10"/>
        <v>0</v>
      </c>
      <c r="O8" s="1">
        <f t="shared" si="11"/>
        <v>0</v>
      </c>
      <c r="P8" s="1">
        <f t="shared" si="12"/>
        <v>0</v>
      </c>
      <c r="Q8" s="1">
        <f t="shared" si="13"/>
        <v>34</v>
      </c>
      <c r="R8" s="81">
        <f t="shared" si="14"/>
        <v>34</v>
      </c>
      <c r="S8">
        <f t="shared" ref="S8:S44" si="15">IF(R8&gt;40000,((R8-40000)*20%),0)</f>
        <v>0</v>
      </c>
      <c r="T8">
        <f t="shared" ref="T8:T44" si="16">R8-S8</f>
        <v>34</v>
      </c>
      <c r="U8" s="45">
        <v>2</v>
      </c>
      <c r="V8" s="46">
        <f t="shared" si="2"/>
        <v>31</v>
      </c>
      <c r="W8" s="42"/>
      <c r="X8" s="79">
        <v>80</v>
      </c>
      <c r="Y8" s="79">
        <v>46</v>
      </c>
      <c r="Z8" s="79">
        <v>0</v>
      </c>
      <c r="AI8" s="66">
        <f>V2</f>
        <v>41147</v>
      </c>
      <c r="AJ8" s="35" t="s">
        <v>46</v>
      </c>
      <c r="AK8" s="36">
        <v>2</v>
      </c>
      <c r="AL8" s="37">
        <v>200000</v>
      </c>
      <c r="AM8" s="37">
        <v>1000</v>
      </c>
      <c r="AN8" s="74">
        <f t="shared" ref="AN8:AN32" si="17">AM8</f>
        <v>1000</v>
      </c>
    </row>
    <row r="9" spans="1:40" ht="28.05" customHeight="1" thickBot="1">
      <c r="B9" s="40" t="s">
        <v>103</v>
      </c>
      <c r="C9" s="47">
        <v>21299</v>
      </c>
      <c r="D9" s="76" t="s">
        <v>115</v>
      </c>
      <c r="E9" s="8">
        <v>20</v>
      </c>
      <c r="F9" s="1" t="str">
        <f t="shared" si="1"/>
        <v>9</v>
      </c>
      <c r="G9" s="69">
        <f t="shared" si="3"/>
        <v>0</v>
      </c>
      <c r="H9" s="69">
        <f t="shared" si="4"/>
        <v>0</v>
      </c>
      <c r="I9" s="1">
        <f t="shared" si="5"/>
        <v>0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N9" s="1">
        <f t="shared" si="10"/>
        <v>0</v>
      </c>
      <c r="O9" s="1">
        <f t="shared" si="11"/>
        <v>0</v>
      </c>
      <c r="P9" s="1">
        <f t="shared" si="12"/>
        <v>0</v>
      </c>
      <c r="Q9" s="1">
        <f t="shared" si="13"/>
        <v>0</v>
      </c>
      <c r="R9" s="81">
        <f t="shared" si="14"/>
        <v>0</v>
      </c>
      <c r="S9">
        <f t="shared" si="15"/>
        <v>0</v>
      </c>
      <c r="T9">
        <f t="shared" si="16"/>
        <v>0</v>
      </c>
      <c r="U9" s="45">
        <v>3</v>
      </c>
      <c r="V9" s="46">
        <f t="shared" si="2"/>
        <v>19</v>
      </c>
      <c r="W9" s="42"/>
      <c r="X9" s="79">
        <v>0</v>
      </c>
      <c r="Y9" s="79">
        <v>0</v>
      </c>
      <c r="Z9" s="79">
        <v>20</v>
      </c>
      <c r="AI9" s="67">
        <f>X2</f>
        <v>54274</v>
      </c>
      <c r="AJ9" s="22" t="s">
        <v>47</v>
      </c>
      <c r="AK9" s="23">
        <v>1</v>
      </c>
      <c r="AL9" s="24">
        <v>60000</v>
      </c>
      <c r="AM9" s="24">
        <v>300</v>
      </c>
      <c r="AN9" s="74">
        <f t="shared" si="17"/>
        <v>300</v>
      </c>
    </row>
    <row r="10" spans="1:40" ht="28.05" customHeight="1" thickBot="1">
      <c r="B10" s="40" t="s">
        <v>103</v>
      </c>
      <c r="C10" s="47">
        <v>23421</v>
      </c>
      <c r="D10" s="76" t="s">
        <v>112</v>
      </c>
      <c r="E10" s="8">
        <v>20</v>
      </c>
      <c r="F10" s="1" t="str">
        <f t="shared" si="1"/>
        <v>1</v>
      </c>
      <c r="G10" s="69">
        <f t="shared" si="3"/>
        <v>0</v>
      </c>
      <c r="H10" s="69">
        <f t="shared" si="4"/>
        <v>0</v>
      </c>
      <c r="I10" s="1">
        <f t="shared" si="5"/>
        <v>0</v>
      </c>
      <c r="J10" s="1">
        <f t="shared" si="6"/>
        <v>0</v>
      </c>
      <c r="K10" s="1">
        <f t="shared" si="7"/>
        <v>0</v>
      </c>
      <c r="L10" s="1">
        <f t="shared" si="8"/>
        <v>0</v>
      </c>
      <c r="M10" s="1">
        <f t="shared" si="9"/>
        <v>0</v>
      </c>
      <c r="N10" s="1">
        <f t="shared" si="10"/>
        <v>0</v>
      </c>
      <c r="O10" s="1">
        <f t="shared" si="11"/>
        <v>0</v>
      </c>
      <c r="P10" s="1">
        <f t="shared" si="12"/>
        <v>0</v>
      </c>
      <c r="Q10" s="1">
        <f t="shared" si="13"/>
        <v>0</v>
      </c>
      <c r="R10" s="81">
        <f t="shared" si="14"/>
        <v>0</v>
      </c>
      <c r="S10">
        <f t="shared" si="15"/>
        <v>0</v>
      </c>
      <c r="T10">
        <f t="shared" si="16"/>
        <v>0</v>
      </c>
      <c r="U10" s="45">
        <v>4</v>
      </c>
      <c r="V10" s="46">
        <f t="shared" si="2"/>
        <v>30</v>
      </c>
      <c r="W10" s="42"/>
      <c r="X10" s="79">
        <v>20</v>
      </c>
      <c r="Y10" s="79">
        <v>0</v>
      </c>
      <c r="Z10" s="79">
        <v>0</v>
      </c>
      <c r="AI10" s="67">
        <f>Y2</f>
        <v>45353</v>
      </c>
      <c r="AJ10" s="22" t="s">
        <v>47</v>
      </c>
      <c r="AK10" s="23">
        <v>2</v>
      </c>
      <c r="AL10" s="24">
        <v>60000</v>
      </c>
      <c r="AM10" s="24">
        <v>300</v>
      </c>
      <c r="AN10" s="74">
        <f t="shared" si="17"/>
        <v>300</v>
      </c>
    </row>
    <row r="11" spans="1:40" ht="28.05" customHeight="1" thickBot="1">
      <c r="B11" s="40" t="s">
        <v>103</v>
      </c>
      <c r="C11" s="47">
        <v>31036</v>
      </c>
      <c r="D11" s="76" t="s">
        <v>104</v>
      </c>
      <c r="E11" s="8">
        <v>4</v>
      </c>
      <c r="F11" s="1" t="str">
        <f t="shared" si="1"/>
        <v>6</v>
      </c>
      <c r="G11" s="69">
        <f t="shared" si="3"/>
        <v>0</v>
      </c>
      <c r="H11" s="69">
        <f t="shared" si="4"/>
        <v>0</v>
      </c>
      <c r="I11" s="1">
        <f t="shared" si="5"/>
        <v>0</v>
      </c>
      <c r="J11" s="1">
        <f t="shared" si="6"/>
        <v>0</v>
      </c>
      <c r="K11" s="1">
        <f t="shared" si="7"/>
        <v>0</v>
      </c>
      <c r="L11" s="1">
        <f>IF(COUNTIF($AI$9:$AI$16,C11),E11*$AM$9,0)</f>
        <v>0</v>
      </c>
      <c r="M11" s="1">
        <f t="shared" si="9"/>
        <v>0</v>
      </c>
      <c r="N11" s="1">
        <f t="shared" si="10"/>
        <v>0</v>
      </c>
      <c r="O11" s="1">
        <f t="shared" si="11"/>
        <v>0</v>
      </c>
      <c r="P11" s="1">
        <f t="shared" si="12"/>
        <v>0</v>
      </c>
      <c r="Q11" s="1">
        <f t="shared" si="13"/>
        <v>0</v>
      </c>
      <c r="R11" s="81">
        <f t="shared" si="14"/>
        <v>0</v>
      </c>
      <c r="S11">
        <f t="shared" si="15"/>
        <v>0</v>
      </c>
      <c r="T11">
        <f t="shared" si="16"/>
        <v>0</v>
      </c>
      <c r="U11" s="45">
        <v>5</v>
      </c>
      <c r="V11" s="46">
        <f t="shared" si="2"/>
        <v>20</v>
      </c>
      <c r="W11" s="42"/>
      <c r="X11" s="79">
        <v>4</v>
      </c>
      <c r="Y11" s="79">
        <v>0</v>
      </c>
      <c r="Z11" s="79">
        <v>0</v>
      </c>
      <c r="AI11" s="67">
        <f>Z2</f>
        <v>88979</v>
      </c>
      <c r="AJ11" s="22" t="s">
        <v>47</v>
      </c>
      <c r="AK11" s="23">
        <v>3</v>
      </c>
      <c r="AL11" s="24">
        <v>60000</v>
      </c>
      <c r="AM11" s="24">
        <v>300</v>
      </c>
      <c r="AN11" s="74">
        <f t="shared" si="17"/>
        <v>300</v>
      </c>
    </row>
    <row r="12" spans="1:40" ht="28.05" customHeight="1" thickBot="1">
      <c r="B12" s="83" t="s">
        <v>127</v>
      </c>
      <c r="C12" s="47">
        <v>31333</v>
      </c>
      <c r="D12" s="76" t="s">
        <v>101</v>
      </c>
      <c r="E12" s="8">
        <v>10</v>
      </c>
      <c r="F12" s="1" t="str">
        <f t="shared" si="1"/>
        <v>3</v>
      </c>
      <c r="G12" s="69">
        <f t="shared" si="3"/>
        <v>0</v>
      </c>
      <c r="H12" s="69">
        <f t="shared" si="4"/>
        <v>0</v>
      </c>
      <c r="I12" s="1">
        <f t="shared" si="5"/>
        <v>0</v>
      </c>
      <c r="J12" s="1">
        <f t="shared" si="6"/>
        <v>0</v>
      </c>
      <c r="K12" s="1">
        <f t="shared" si="7"/>
        <v>0</v>
      </c>
      <c r="L12" s="1">
        <f t="shared" si="8"/>
        <v>0</v>
      </c>
      <c r="M12" s="1">
        <f t="shared" si="9"/>
        <v>50</v>
      </c>
      <c r="N12" s="1">
        <f t="shared" si="10"/>
        <v>0</v>
      </c>
      <c r="O12" s="1">
        <f t="shared" si="11"/>
        <v>0</v>
      </c>
      <c r="P12" s="1">
        <f t="shared" si="12"/>
        <v>0</v>
      </c>
      <c r="Q12" s="1">
        <f t="shared" si="13"/>
        <v>0</v>
      </c>
      <c r="R12" s="81">
        <f t="shared" si="14"/>
        <v>50</v>
      </c>
      <c r="S12">
        <f t="shared" si="15"/>
        <v>0</v>
      </c>
      <c r="T12">
        <f t="shared" si="16"/>
        <v>50</v>
      </c>
      <c r="U12" s="45">
        <v>6</v>
      </c>
      <c r="V12" s="46">
        <f t="shared" si="2"/>
        <v>58</v>
      </c>
      <c r="W12" s="42"/>
      <c r="X12" s="79">
        <v>10</v>
      </c>
      <c r="Y12" s="79">
        <v>0</v>
      </c>
      <c r="Z12" s="79">
        <v>0</v>
      </c>
      <c r="AI12" s="67">
        <f>AA2</f>
        <v>92023</v>
      </c>
      <c r="AJ12" s="22" t="s">
        <v>47</v>
      </c>
      <c r="AK12" s="23">
        <v>4</v>
      </c>
      <c r="AL12" s="24">
        <v>60000</v>
      </c>
      <c r="AM12" s="24">
        <v>300</v>
      </c>
      <c r="AN12" s="74">
        <f t="shared" si="17"/>
        <v>300</v>
      </c>
    </row>
    <row r="13" spans="1:40" ht="28.05" customHeight="1" thickBot="1">
      <c r="B13" s="40" t="s">
        <v>103</v>
      </c>
      <c r="C13" s="47">
        <v>37556</v>
      </c>
      <c r="D13" s="76" t="s">
        <v>99</v>
      </c>
      <c r="E13" s="8">
        <v>20</v>
      </c>
      <c r="F13" s="1" t="str">
        <f t="shared" si="1"/>
        <v>6</v>
      </c>
      <c r="G13" s="69">
        <f t="shared" si="3"/>
        <v>0</v>
      </c>
      <c r="H13" s="69">
        <f t="shared" si="4"/>
        <v>0</v>
      </c>
      <c r="I13" s="1">
        <f t="shared" si="5"/>
        <v>0</v>
      </c>
      <c r="J13" s="1">
        <f t="shared" si="6"/>
        <v>0</v>
      </c>
      <c r="K13" s="1">
        <f t="shared" si="7"/>
        <v>0</v>
      </c>
      <c r="L13" s="1">
        <f t="shared" si="8"/>
        <v>0</v>
      </c>
      <c r="M13" s="1">
        <f t="shared" si="9"/>
        <v>0</v>
      </c>
      <c r="N13" s="1">
        <f t="shared" si="10"/>
        <v>0</v>
      </c>
      <c r="O13" s="1">
        <f t="shared" si="11"/>
        <v>0</v>
      </c>
      <c r="P13" s="1">
        <f t="shared" si="12"/>
        <v>0</v>
      </c>
      <c r="Q13" s="1">
        <f t="shared" si="13"/>
        <v>0</v>
      </c>
      <c r="R13" s="81">
        <f t="shared" si="14"/>
        <v>0</v>
      </c>
      <c r="S13">
        <f t="shared" si="15"/>
        <v>0</v>
      </c>
      <c r="T13">
        <f t="shared" si="16"/>
        <v>0</v>
      </c>
      <c r="U13" s="45">
        <v>7</v>
      </c>
      <c r="V13" s="46">
        <f t="shared" si="2"/>
        <v>30</v>
      </c>
      <c r="W13" s="42"/>
      <c r="X13" s="79">
        <v>0</v>
      </c>
      <c r="Y13" s="79">
        <v>0</v>
      </c>
      <c r="Z13" s="79">
        <v>20</v>
      </c>
      <c r="AI13" s="67">
        <f>AB2</f>
        <v>1568</v>
      </c>
      <c r="AJ13" s="22" t="s">
        <v>47</v>
      </c>
      <c r="AK13" s="23">
        <v>5</v>
      </c>
      <c r="AL13" s="24">
        <v>60000</v>
      </c>
      <c r="AM13" s="24">
        <v>300</v>
      </c>
      <c r="AN13" s="74">
        <f t="shared" si="17"/>
        <v>300</v>
      </c>
    </row>
    <row r="14" spans="1:40" ht="28.05" customHeight="1" thickBot="1">
      <c r="B14" s="40" t="s">
        <v>103</v>
      </c>
      <c r="C14" s="47">
        <v>37590</v>
      </c>
      <c r="D14" s="76" t="s">
        <v>117</v>
      </c>
      <c r="E14" s="8">
        <v>20</v>
      </c>
      <c r="F14" s="1" t="str">
        <f t="shared" si="1"/>
        <v>0</v>
      </c>
      <c r="G14" s="69">
        <f t="shared" si="3"/>
        <v>0</v>
      </c>
      <c r="H14" s="69">
        <f t="shared" si="4"/>
        <v>0</v>
      </c>
      <c r="I14" s="1">
        <f t="shared" si="5"/>
        <v>0</v>
      </c>
      <c r="J14" s="1">
        <f t="shared" si="6"/>
        <v>0</v>
      </c>
      <c r="K14" s="1">
        <f t="shared" si="7"/>
        <v>0</v>
      </c>
      <c r="L14" s="1">
        <f t="shared" si="8"/>
        <v>0</v>
      </c>
      <c r="M14" s="1">
        <f t="shared" si="9"/>
        <v>0</v>
      </c>
      <c r="N14" s="1">
        <f t="shared" si="10"/>
        <v>0</v>
      </c>
      <c r="O14" s="1">
        <f t="shared" si="11"/>
        <v>0</v>
      </c>
      <c r="P14" s="1">
        <f t="shared" si="12"/>
        <v>0</v>
      </c>
      <c r="Q14" s="1">
        <f t="shared" si="13"/>
        <v>0</v>
      </c>
      <c r="R14" s="81">
        <f t="shared" si="14"/>
        <v>0</v>
      </c>
      <c r="S14">
        <f t="shared" si="15"/>
        <v>0</v>
      </c>
      <c r="T14">
        <f t="shared" si="16"/>
        <v>0</v>
      </c>
      <c r="U14" s="45">
        <v>8</v>
      </c>
      <c r="V14" s="46">
        <f t="shared" si="2"/>
        <v>42</v>
      </c>
      <c r="W14" s="42"/>
      <c r="X14" s="79">
        <v>20</v>
      </c>
      <c r="Y14" s="79">
        <v>0</v>
      </c>
      <c r="Z14" s="79">
        <v>0</v>
      </c>
      <c r="AI14" s="67">
        <f>AC2</f>
        <v>57421</v>
      </c>
      <c r="AJ14" s="22" t="s">
        <v>47</v>
      </c>
      <c r="AK14" s="23">
        <v>6</v>
      </c>
      <c r="AL14" s="24">
        <v>60000</v>
      </c>
      <c r="AM14" s="24">
        <v>300</v>
      </c>
      <c r="AN14" s="74">
        <f t="shared" si="17"/>
        <v>300</v>
      </c>
    </row>
    <row r="15" spans="1:40" ht="28.05" customHeight="1" thickBot="1">
      <c r="B15" s="40" t="s">
        <v>103</v>
      </c>
      <c r="C15" s="47">
        <v>53747</v>
      </c>
      <c r="D15" s="76" t="s">
        <v>108</v>
      </c>
      <c r="E15" s="8">
        <v>5</v>
      </c>
      <c r="F15" s="1" t="str">
        <f t="shared" si="1"/>
        <v>7</v>
      </c>
      <c r="G15" s="69">
        <f t="shared" si="3"/>
        <v>0</v>
      </c>
      <c r="H15" s="69">
        <f t="shared" si="4"/>
        <v>0</v>
      </c>
      <c r="I15" s="1">
        <f t="shared" si="5"/>
        <v>0</v>
      </c>
      <c r="J15" s="1">
        <f t="shared" si="6"/>
        <v>0</v>
      </c>
      <c r="K15" s="1">
        <f t="shared" si="7"/>
        <v>0</v>
      </c>
      <c r="L15" s="1">
        <f t="shared" si="8"/>
        <v>0</v>
      </c>
      <c r="M15" s="1">
        <f t="shared" si="9"/>
        <v>0</v>
      </c>
      <c r="N15" s="1">
        <f t="shared" si="10"/>
        <v>0</v>
      </c>
      <c r="O15" s="1">
        <f t="shared" si="11"/>
        <v>0</v>
      </c>
      <c r="P15" s="1">
        <f t="shared" si="12"/>
        <v>0</v>
      </c>
      <c r="Q15" s="1">
        <f t="shared" si="13"/>
        <v>0</v>
      </c>
      <c r="R15" s="81">
        <f t="shared" si="14"/>
        <v>0</v>
      </c>
      <c r="S15">
        <f t="shared" si="15"/>
        <v>0</v>
      </c>
      <c r="T15">
        <f t="shared" si="16"/>
        <v>0</v>
      </c>
      <c r="U15" s="45">
        <v>9</v>
      </c>
      <c r="V15" s="46">
        <f t="shared" si="2"/>
        <v>25</v>
      </c>
      <c r="W15" s="42"/>
      <c r="X15" s="79">
        <v>0</v>
      </c>
      <c r="Y15" s="79">
        <v>0</v>
      </c>
      <c r="Z15" s="79">
        <v>5</v>
      </c>
      <c r="AI15" s="67">
        <f>AD2</f>
        <v>37038</v>
      </c>
      <c r="AJ15" s="22" t="s">
        <v>47</v>
      </c>
      <c r="AK15" s="23">
        <v>7</v>
      </c>
      <c r="AL15" s="24">
        <v>60000</v>
      </c>
      <c r="AM15" s="24">
        <v>300</v>
      </c>
      <c r="AN15" s="74">
        <f t="shared" si="17"/>
        <v>300</v>
      </c>
    </row>
    <row r="16" spans="1:40" ht="28.05" customHeight="1" thickBot="1">
      <c r="B16" s="40" t="s">
        <v>103</v>
      </c>
      <c r="C16" s="47">
        <v>55917</v>
      </c>
      <c r="D16" s="76" t="s">
        <v>97</v>
      </c>
      <c r="E16" s="8">
        <v>20</v>
      </c>
      <c r="F16" s="1" t="str">
        <f t="shared" si="1"/>
        <v>7</v>
      </c>
      <c r="G16" s="69">
        <f t="shared" si="3"/>
        <v>0</v>
      </c>
      <c r="H16" s="69">
        <f t="shared" si="4"/>
        <v>0</v>
      </c>
      <c r="I16" s="1">
        <f t="shared" si="5"/>
        <v>0</v>
      </c>
      <c r="J16" s="1">
        <f t="shared" si="6"/>
        <v>0</v>
      </c>
      <c r="K16" s="1">
        <f t="shared" si="7"/>
        <v>0</v>
      </c>
      <c r="L16" s="1">
        <f t="shared" si="8"/>
        <v>0</v>
      </c>
      <c r="M16" s="1">
        <f t="shared" si="9"/>
        <v>0</v>
      </c>
      <c r="N16" s="1">
        <f t="shared" si="10"/>
        <v>0</v>
      </c>
      <c r="O16" s="1">
        <f t="shared" si="11"/>
        <v>0</v>
      </c>
      <c r="P16" s="1">
        <f t="shared" si="12"/>
        <v>0</v>
      </c>
      <c r="Q16" s="1">
        <f t="shared" si="13"/>
        <v>0</v>
      </c>
      <c r="R16" s="81">
        <f t="shared" si="14"/>
        <v>0</v>
      </c>
      <c r="S16">
        <f t="shared" si="15"/>
        <v>0</v>
      </c>
      <c r="T16">
        <f t="shared" si="16"/>
        <v>0</v>
      </c>
      <c r="X16" s="79">
        <v>20</v>
      </c>
      <c r="Y16" s="79">
        <v>0</v>
      </c>
      <c r="Z16" s="79">
        <v>0</v>
      </c>
      <c r="AI16" s="67">
        <f>AE2</f>
        <v>86007</v>
      </c>
      <c r="AJ16" s="22" t="s">
        <v>47</v>
      </c>
      <c r="AK16" s="23">
        <v>8</v>
      </c>
      <c r="AL16" s="24">
        <v>60000</v>
      </c>
      <c r="AM16" s="24">
        <v>300</v>
      </c>
      <c r="AN16" s="74">
        <f t="shared" si="17"/>
        <v>300</v>
      </c>
    </row>
    <row r="17" spans="2:40" ht="28.05" customHeight="1" thickBot="1">
      <c r="B17" s="40" t="s">
        <v>103</v>
      </c>
      <c r="C17" s="47">
        <v>66536</v>
      </c>
      <c r="D17" s="76" t="s">
        <v>102</v>
      </c>
      <c r="E17" s="8">
        <v>20</v>
      </c>
      <c r="F17" s="1" t="str">
        <f t="shared" si="1"/>
        <v>6</v>
      </c>
      <c r="G17" s="69">
        <f t="shared" si="3"/>
        <v>0</v>
      </c>
      <c r="H17" s="69">
        <f t="shared" si="4"/>
        <v>0</v>
      </c>
      <c r="I17" s="1">
        <f t="shared" si="5"/>
        <v>0</v>
      </c>
      <c r="J17" s="1">
        <f t="shared" si="6"/>
        <v>0</v>
      </c>
      <c r="K17" s="1">
        <f t="shared" si="7"/>
        <v>0</v>
      </c>
      <c r="L17" s="1">
        <f t="shared" si="8"/>
        <v>0</v>
      </c>
      <c r="M17" s="1">
        <f t="shared" si="9"/>
        <v>0</v>
      </c>
      <c r="N17" s="1">
        <f t="shared" si="10"/>
        <v>0</v>
      </c>
      <c r="O17" s="1">
        <f t="shared" si="11"/>
        <v>0</v>
      </c>
      <c r="P17" s="1">
        <f t="shared" si="12"/>
        <v>0</v>
      </c>
      <c r="Q17" s="1">
        <f t="shared" si="13"/>
        <v>0</v>
      </c>
      <c r="R17" s="81">
        <f t="shared" si="14"/>
        <v>0</v>
      </c>
      <c r="S17">
        <f t="shared" si="15"/>
        <v>0</v>
      </c>
      <c r="T17">
        <f t="shared" si="16"/>
        <v>0</v>
      </c>
      <c r="X17" s="79">
        <v>20</v>
      </c>
      <c r="Y17" s="79">
        <v>0</v>
      </c>
      <c r="Z17" s="79">
        <v>0</v>
      </c>
      <c r="AI17" s="38"/>
      <c r="AJ17" s="25" t="s">
        <v>48</v>
      </c>
      <c r="AK17" s="26">
        <v>1794</v>
      </c>
      <c r="AL17" s="27">
        <v>1000</v>
      </c>
      <c r="AM17" s="27">
        <v>5</v>
      </c>
      <c r="AN17" s="74">
        <f t="shared" si="17"/>
        <v>5</v>
      </c>
    </row>
    <row r="18" spans="2:40" ht="28.05" customHeight="1" thickBot="1">
      <c r="B18" s="40" t="s">
        <v>103</v>
      </c>
      <c r="C18" s="47">
        <v>68552</v>
      </c>
      <c r="D18" s="76" t="s">
        <v>100</v>
      </c>
      <c r="E18" s="8">
        <v>21</v>
      </c>
      <c r="F18" s="1" t="str">
        <f t="shared" si="1"/>
        <v>2</v>
      </c>
      <c r="G18" s="69">
        <f t="shared" si="3"/>
        <v>0</v>
      </c>
      <c r="H18" s="69">
        <f t="shared" si="4"/>
        <v>0</v>
      </c>
      <c r="I18" s="1">
        <f t="shared" si="5"/>
        <v>0</v>
      </c>
      <c r="J18" s="1">
        <f t="shared" si="6"/>
        <v>0</v>
      </c>
      <c r="K18" s="1">
        <f t="shared" si="7"/>
        <v>0</v>
      </c>
      <c r="L18" s="1">
        <f t="shared" si="8"/>
        <v>0</v>
      </c>
      <c r="M18" s="1">
        <f t="shared" si="9"/>
        <v>0</v>
      </c>
      <c r="N18" s="1">
        <f t="shared" si="10"/>
        <v>0</v>
      </c>
      <c r="O18" s="1">
        <f t="shared" si="11"/>
        <v>0</v>
      </c>
      <c r="P18" s="1">
        <f t="shared" si="12"/>
        <v>0</v>
      </c>
      <c r="Q18" s="1">
        <f t="shared" si="13"/>
        <v>0</v>
      </c>
      <c r="R18" s="81">
        <f t="shared" si="14"/>
        <v>0</v>
      </c>
      <c r="S18">
        <f t="shared" si="15"/>
        <v>0</v>
      </c>
      <c r="T18">
        <f t="shared" si="16"/>
        <v>0</v>
      </c>
      <c r="X18" s="79">
        <v>0</v>
      </c>
      <c r="Y18" s="79">
        <v>0</v>
      </c>
      <c r="Z18" s="79">
        <v>21</v>
      </c>
      <c r="AI18" s="33">
        <f>AI4-1</f>
        <v>88007</v>
      </c>
      <c r="AJ18" s="19" t="s">
        <v>57</v>
      </c>
      <c r="AK18" s="20">
        <v>1</v>
      </c>
      <c r="AL18" s="21">
        <v>20000</v>
      </c>
      <c r="AM18" s="21">
        <v>100</v>
      </c>
      <c r="AN18" s="74">
        <f t="shared" si="17"/>
        <v>100</v>
      </c>
    </row>
    <row r="19" spans="2:40" ht="28.05" customHeight="1" thickBot="1">
      <c r="B19" s="40" t="s">
        <v>103</v>
      </c>
      <c r="C19" s="47">
        <v>71301</v>
      </c>
      <c r="D19" s="76" t="s">
        <v>113</v>
      </c>
      <c r="E19" s="8">
        <v>4</v>
      </c>
      <c r="F19" s="1" t="str">
        <f t="shared" si="1"/>
        <v>1</v>
      </c>
      <c r="G19" s="69">
        <f t="shared" si="3"/>
        <v>0</v>
      </c>
      <c r="H19" s="69">
        <f t="shared" si="4"/>
        <v>0</v>
      </c>
      <c r="I19" s="1">
        <f t="shared" si="5"/>
        <v>0</v>
      </c>
      <c r="J19" s="1">
        <f t="shared" si="6"/>
        <v>0</v>
      </c>
      <c r="K19" s="1">
        <f t="shared" si="7"/>
        <v>0</v>
      </c>
      <c r="L19" s="1">
        <f t="shared" si="8"/>
        <v>0</v>
      </c>
      <c r="M19" s="1">
        <f t="shared" si="9"/>
        <v>0</v>
      </c>
      <c r="N19" s="1">
        <f t="shared" si="10"/>
        <v>0</v>
      </c>
      <c r="O19" s="1">
        <f t="shared" si="11"/>
        <v>0</v>
      </c>
      <c r="P19" s="1">
        <f t="shared" si="12"/>
        <v>0</v>
      </c>
      <c r="Q19" s="1">
        <f t="shared" si="13"/>
        <v>0</v>
      </c>
      <c r="R19" s="81">
        <f t="shared" si="14"/>
        <v>0</v>
      </c>
      <c r="S19">
        <f t="shared" si="15"/>
        <v>0</v>
      </c>
      <c r="T19">
        <f t="shared" si="16"/>
        <v>0</v>
      </c>
      <c r="X19" s="79">
        <v>0</v>
      </c>
      <c r="Y19" s="79">
        <v>0</v>
      </c>
      <c r="Z19" s="79">
        <v>4</v>
      </c>
      <c r="AI19" s="33">
        <f>AI4+1</f>
        <v>88009</v>
      </c>
      <c r="AJ19" s="19" t="s">
        <v>58</v>
      </c>
      <c r="AK19" s="20">
        <v>1</v>
      </c>
      <c r="AL19" s="21">
        <v>20000</v>
      </c>
      <c r="AM19" s="21">
        <v>100</v>
      </c>
      <c r="AN19" s="74">
        <f t="shared" si="17"/>
        <v>100</v>
      </c>
    </row>
    <row r="20" spans="2:40" ht="28.05" customHeight="1" thickBot="1">
      <c r="B20" s="40" t="s">
        <v>103</v>
      </c>
      <c r="C20" s="47">
        <v>74838</v>
      </c>
      <c r="D20" s="76" t="s">
        <v>6</v>
      </c>
      <c r="E20" s="8">
        <v>4</v>
      </c>
      <c r="F20" s="1" t="str">
        <f t="shared" si="1"/>
        <v>8</v>
      </c>
      <c r="G20" s="69">
        <f t="shared" si="3"/>
        <v>0</v>
      </c>
      <c r="H20" s="69">
        <f t="shared" si="4"/>
        <v>0</v>
      </c>
      <c r="I20" s="1">
        <f t="shared" si="5"/>
        <v>0</v>
      </c>
      <c r="J20" s="1">
        <f t="shared" si="6"/>
        <v>0</v>
      </c>
      <c r="K20" s="1">
        <f t="shared" si="7"/>
        <v>0</v>
      </c>
      <c r="L20" s="1">
        <f t="shared" si="8"/>
        <v>0</v>
      </c>
      <c r="M20" s="1">
        <f t="shared" si="9"/>
        <v>0</v>
      </c>
      <c r="N20" s="1">
        <f t="shared" si="10"/>
        <v>0</v>
      </c>
      <c r="O20" s="1">
        <f t="shared" si="11"/>
        <v>0</v>
      </c>
      <c r="P20" s="1">
        <f t="shared" si="12"/>
        <v>20</v>
      </c>
      <c r="Q20" s="1">
        <f t="shared" si="13"/>
        <v>4</v>
      </c>
      <c r="R20" s="81">
        <f t="shared" si="14"/>
        <v>24</v>
      </c>
      <c r="S20">
        <f t="shared" si="15"/>
        <v>0</v>
      </c>
      <c r="T20">
        <f t="shared" si="16"/>
        <v>24</v>
      </c>
      <c r="X20" s="79">
        <v>4</v>
      </c>
      <c r="Y20" s="79">
        <v>0</v>
      </c>
      <c r="Z20" s="79">
        <v>0</v>
      </c>
      <c r="AI20" s="33">
        <f>AI5-1</f>
        <v>58302</v>
      </c>
      <c r="AJ20" s="22" t="s">
        <v>59</v>
      </c>
      <c r="AK20" s="23">
        <v>2</v>
      </c>
      <c r="AL20" s="24">
        <v>12500</v>
      </c>
      <c r="AM20" s="28">
        <v>62.5</v>
      </c>
      <c r="AN20" s="74">
        <f t="shared" si="17"/>
        <v>62.5</v>
      </c>
    </row>
    <row r="21" spans="2:40" ht="28.05" customHeight="1" thickBot="1">
      <c r="B21" s="40" t="s">
        <v>103</v>
      </c>
      <c r="C21" s="47">
        <v>79454</v>
      </c>
      <c r="D21" s="76" t="s">
        <v>3</v>
      </c>
      <c r="E21" s="8">
        <v>20</v>
      </c>
      <c r="F21" s="1" t="str">
        <f t="shared" si="1"/>
        <v>4</v>
      </c>
      <c r="G21" s="69">
        <f t="shared" si="3"/>
        <v>0</v>
      </c>
      <c r="H21" s="69">
        <f t="shared" si="4"/>
        <v>0</v>
      </c>
      <c r="I21" s="1">
        <f t="shared" si="5"/>
        <v>0</v>
      </c>
      <c r="J21" s="1">
        <f t="shared" si="6"/>
        <v>0</v>
      </c>
      <c r="K21" s="1">
        <f t="shared" si="7"/>
        <v>0</v>
      </c>
      <c r="L21" s="1">
        <f t="shared" si="8"/>
        <v>0</v>
      </c>
      <c r="M21" s="1">
        <f t="shared" si="9"/>
        <v>0</v>
      </c>
      <c r="N21" s="1">
        <f t="shared" si="10"/>
        <v>0</v>
      </c>
      <c r="O21" s="1">
        <f t="shared" si="11"/>
        <v>0</v>
      </c>
      <c r="P21" s="1">
        <f t="shared" si="12"/>
        <v>0</v>
      </c>
      <c r="Q21" s="1">
        <f t="shared" si="13"/>
        <v>0</v>
      </c>
      <c r="R21" s="81">
        <f t="shared" si="14"/>
        <v>0</v>
      </c>
      <c r="S21">
        <f t="shared" si="15"/>
        <v>0</v>
      </c>
      <c r="T21">
        <f t="shared" si="16"/>
        <v>0</v>
      </c>
      <c r="X21" s="79">
        <v>20</v>
      </c>
      <c r="Y21" s="79">
        <v>0</v>
      </c>
      <c r="Z21" s="79">
        <v>0</v>
      </c>
      <c r="AI21" s="33">
        <f>AI5+1</f>
        <v>58304</v>
      </c>
      <c r="AJ21" s="22" t="s">
        <v>60</v>
      </c>
      <c r="AK21" s="23">
        <v>2</v>
      </c>
      <c r="AL21" s="24">
        <v>12500</v>
      </c>
      <c r="AM21" s="28">
        <v>62.5</v>
      </c>
      <c r="AN21" s="74">
        <f t="shared" si="17"/>
        <v>62.5</v>
      </c>
    </row>
    <row r="22" spans="2:40" ht="28.05" customHeight="1" thickBot="1">
      <c r="B22" s="40" t="s">
        <v>103</v>
      </c>
      <c r="C22" s="47">
        <v>84251</v>
      </c>
      <c r="D22" s="76" t="s">
        <v>114</v>
      </c>
      <c r="E22" s="8">
        <v>4</v>
      </c>
      <c r="F22" s="1" t="str">
        <f t="shared" si="1"/>
        <v>1</v>
      </c>
      <c r="G22" s="69">
        <f t="shared" si="3"/>
        <v>0</v>
      </c>
      <c r="H22" s="69">
        <f t="shared" si="4"/>
        <v>0</v>
      </c>
      <c r="I22" s="1">
        <f t="shared" si="5"/>
        <v>0</v>
      </c>
      <c r="J22" s="1">
        <f t="shared" si="6"/>
        <v>0</v>
      </c>
      <c r="K22" s="1">
        <f t="shared" si="7"/>
        <v>0</v>
      </c>
      <c r="L22" s="1">
        <f t="shared" si="8"/>
        <v>0</v>
      </c>
      <c r="M22" s="1">
        <f t="shared" si="9"/>
        <v>0</v>
      </c>
      <c r="N22" s="1">
        <f t="shared" si="10"/>
        <v>0</v>
      </c>
      <c r="O22" s="1">
        <f t="shared" si="11"/>
        <v>0</v>
      </c>
      <c r="P22" s="1">
        <f t="shared" si="12"/>
        <v>0</v>
      </c>
      <c r="Q22" s="1">
        <f t="shared" si="13"/>
        <v>0</v>
      </c>
      <c r="R22" s="81">
        <f t="shared" si="14"/>
        <v>0</v>
      </c>
      <c r="S22">
        <f t="shared" si="15"/>
        <v>0</v>
      </c>
      <c r="T22">
        <f t="shared" si="16"/>
        <v>0</v>
      </c>
      <c r="X22" s="79">
        <v>0</v>
      </c>
      <c r="Y22" s="79">
        <v>0</v>
      </c>
      <c r="Z22" s="79">
        <v>4</v>
      </c>
      <c r="AI22" s="33">
        <f>AI6-1</f>
        <v>31937</v>
      </c>
      <c r="AJ22" s="29" t="s">
        <v>61</v>
      </c>
      <c r="AK22" s="30">
        <v>2</v>
      </c>
      <c r="AL22" s="31">
        <v>9600</v>
      </c>
      <c r="AM22" s="31">
        <v>48</v>
      </c>
      <c r="AN22" s="74">
        <f t="shared" si="17"/>
        <v>48</v>
      </c>
    </row>
    <row r="23" spans="2:40" ht="28.05" customHeight="1" thickBot="1">
      <c r="B23" s="40" t="s">
        <v>103</v>
      </c>
      <c r="C23" s="47">
        <v>84943</v>
      </c>
      <c r="D23" s="76" t="s">
        <v>109</v>
      </c>
      <c r="E23" s="8">
        <v>5</v>
      </c>
      <c r="F23" s="1" t="str">
        <f t="shared" si="1"/>
        <v>3</v>
      </c>
      <c r="G23" s="69">
        <f t="shared" si="3"/>
        <v>0</v>
      </c>
      <c r="H23" s="69">
        <f t="shared" si="4"/>
        <v>0</v>
      </c>
      <c r="I23" s="1">
        <f t="shared" si="5"/>
        <v>0</v>
      </c>
      <c r="J23" s="1">
        <f t="shared" si="6"/>
        <v>0</v>
      </c>
      <c r="K23" s="1">
        <f t="shared" si="7"/>
        <v>0</v>
      </c>
      <c r="L23" s="1">
        <f t="shared" si="8"/>
        <v>0</v>
      </c>
      <c r="M23" s="1">
        <f t="shared" si="9"/>
        <v>0</v>
      </c>
      <c r="N23" s="1">
        <f t="shared" si="10"/>
        <v>0</v>
      </c>
      <c r="O23" s="1">
        <f t="shared" si="11"/>
        <v>0</v>
      </c>
      <c r="P23" s="1">
        <f t="shared" si="12"/>
        <v>0</v>
      </c>
      <c r="Q23" s="1">
        <f t="shared" si="13"/>
        <v>0</v>
      </c>
      <c r="R23" s="81">
        <f t="shared" si="14"/>
        <v>0</v>
      </c>
      <c r="S23">
        <f t="shared" si="15"/>
        <v>0</v>
      </c>
      <c r="T23">
        <f t="shared" si="16"/>
        <v>0</v>
      </c>
      <c r="X23" s="79">
        <v>0</v>
      </c>
      <c r="Y23" s="79">
        <v>0</v>
      </c>
      <c r="Z23" s="79">
        <v>5</v>
      </c>
      <c r="AI23" s="33">
        <f>AI6+1</f>
        <v>31939</v>
      </c>
      <c r="AJ23" s="29" t="s">
        <v>62</v>
      </c>
      <c r="AK23" s="30">
        <v>2</v>
      </c>
      <c r="AL23" s="31">
        <v>9600</v>
      </c>
      <c r="AM23" s="31">
        <v>48</v>
      </c>
      <c r="AN23" s="74">
        <f t="shared" si="17"/>
        <v>48</v>
      </c>
    </row>
    <row r="24" spans="2:40" ht="28.05" customHeight="1" thickBot="1">
      <c r="B24" s="40" t="s">
        <v>103</v>
      </c>
      <c r="C24" s="47">
        <v>86846</v>
      </c>
      <c r="D24" s="76" t="s">
        <v>101</v>
      </c>
      <c r="E24" s="8">
        <v>10</v>
      </c>
      <c r="F24" s="1" t="str">
        <f t="shared" si="1"/>
        <v>6</v>
      </c>
      <c r="G24" s="69">
        <f t="shared" si="3"/>
        <v>0</v>
      </c>
      <c r="H24" s="69">
        <f t="shared" si="4"/>
        <v>0</v>
      </c>
      <c r="I24" s="1">
        <f t="shared" si="5"/>
        <v>0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si="9"/>
        <v>0</v>
      </c>
      <c r="N24" s="1">
        <f t="shared" si="10"/>
        <v>0</v>
      </c>
      <c r="O24" s="1">
        <f t="shared" si="11"/>
        <v>0</v>
      </c>
      <c r="P24" s="1">
        <f t="shared" si="12"/>
        <v>0</v>
      </c>
      <c r="Q24" s="1">
        <f t="shared" si="13"/>
        <v>0</v>
      </c>
      <c r="R24" s="81">
        <f t="shared" si="14"/>
        <v>0</v>
      </c>
      <c r="S24">
        <f t="shared" si="15"/>
        <v>0</v>
      </c>
      <c r="T24">
        <f t="shared" si="16"/>
        <v>0</v>
      </c>
      <c r="X24" s="79">
        <v>10</v>
      </c>
      <c r="Y24" s="79">
        <v>0</v>
      </c>
      <c r="Z24" s="79">
        <v>0</v>
      </c>
      <c r="AI24" s="33" t="str">
        <f>LEFT(AI4,3)</f>
        <v>880</v>
      </c>
      <c r="AJ24" s="15" t="s">
        <v>63</v>
      </c>
      <c r="AK24" s="16">
        <v>99</v>
      </c>
      <c r="AL24" s="17">
        <v>1000</v>
      </c>
      <c r="AM24" s="17">
        <v>5</v>
      </c>
      <c r="AN24" s="74">
        <f t="shared" si="17"/>
        <v>5</v>
      </c>
    </row>
    <row r="25" spans="2:40" ht="28.05" customHeight="1" thickBot="1">
      <c r="B25" s="40" t="s">
        <v>103</v>
      </c>
      <c r="C25" s="47">
        <v>93777</v>
      </c>
      <c r="D25" s="76" t="s">
        <v>111</v>
      </c>
      <c r="E25" s="8">
        <v>5</v>
      </c>
      <c r="F25" s="1" t="str">
        <f t="shared" si="1"/>
        <v>7</v>
      </c>
      <c r="G25" s="69">
        <f t="shared" si="3"/>
        <v>0</v>
      </c>
      <c r="H25" s="69">
        <f t="shared" si="4"/>
        <v>0</v>
      </c>
      <c r="I25" s="1">
        <f t="shared" si="5"/>
        <v>0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N25" s="1">
        <f t="shared" si="10"/>
        <v>0</v>
      </c>
      <c r="O25" s="1">
        <f t="shared" si="11"/>
        <v>0</v>
      </c>
      <c r="P25" s="1">
        <f t="shared" si="12"/>
        <v>0</v>
      </c>
      <c r="Q25" s="1">
        <f t="shared" si="13"/>
        <v>0</v>
      </c>
      <c r="R25" s="81">
        <f t="shared" si="14"/>
        <v>0</v>
      </c>
      <c r="S25">
        <f t="shared" si="15"/>
        <v>0</v>
      </c>
      <c r="T25">
        <f t="shared" si="16"/>
        <v>0</v>
      </c>
      <c r="X25" s="79">
        <v>0</v>
      </c>
      <c r="Y25" s="79">
        <v>0</v>
      </c>
      <c r="Z25" s="79">
        <v>5</v>
      </c>
      <c r="AI25" s="33" t="str">
        <f t="shared" ref="AI25:AI28" si="18">LEFT(AI5,3)</f>
        <v>583</v>
      </c>
      <c r="AJ25" s="15" t="s">
        <v>49</v>
      </c>
      <c r="AK25" s="16">
        <v>99</v>
      </c>
      <c r="AL25" s="17">
        <v>1000</v>
      </c>
      <c r="AM25" s="17">
        <v>5</v>
      </c>
      <c r="AN25" s="74">
        <f t="shared" si="17"/>
        <v>5</v>
      </c>
    </row>
    <row r="26" spans="2:40" ht="28.05" customHeight="1" thickBot="1">
      <c r="B26" s="40" t="s">
        <v>103</v>
      </c>
      <c r="C26" s="47">
        <v>93849</v>
      </c>
      <c r="D26" s="76" t="s">
        <v>105</v>
      </c>
      <c r="E26" s="8">
        <v>5</v>
      </c>
      <c r="F26" s="1" t="str">
        <f t="shared" si="1"/>
        <v>9</v>
      </c>
      <c r="G26" s="69">
        <f t="shared" si="3"/>
        <v>0</v>
      </c>
      <c r="H26" s="69">
        <f t="shared" si="4"/>
        <v>0</v>
      </c>
      <c r="I26" s="1">
        <f t="shared" si="5"/>
        <v>0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N26" s="1">
        <f t="shared" si="10"/>
        <v>0</v>
      </c>
      <c r="O26" s="1">
        <f t="shared" si="11"/>
        <v>0</v>
      </c>
      <c r="P26" s="1">
        <f t="shared" si="12"/>
        <v>0</v>
      </c>
      <c r="Q26" s="1">
        <f t="shared" si="13"/>
        <v>0</v>
      </c>
      <c r="R26" s="81">
        <f t="shared" si="14"/>
        <v>0</v>
      </c>
      <c r="S26">
        <f t="shared" si="15"/>
        <v>0</v>
      </c>
      <c r="T26">
        <f t="shared" si="16"/>
        <v>0</v>
      </c>
      <c r="X26" s="79">
        <v>20</v>
      </c>
      <c r="Y26" s="79">
        <v>15</v>
      </c>
      <c r="Z26" s="79">
        <v>0</v>
      </c>
      <c r="AI26" s="33" t="str">
        <f t="shared" si="18"/>
        <v>319</v>
      </c>
      <c r="AJ26" s="15" t="s">
        <v>50</v>
      </c>
      <c r="AK26" s="16">
        <v>99</v>
      </c>
      <c r="AL26" s="17">
        <v>1000</v>
      </c>
      <c r="AM26" s="17">
        <v>5</v>
      </c>
      <c r="AN26" s="74">
        <f t="shared" si="17"/>
        <v>5</v>
      </c>
    </row>
    <row r="27" spans="2:40" ht="28.05" customHeight="1" thickBot="1">
      <c r="B27" s="40" t="s">
        <v>103</v>
      </c>
      <c r="C27" s="47">
        <v>95564</v>
      </c>
      <c r="D27" s="76" t="s">
        <v>119</v>
      </c>
      <c r="E27" s="8">
        <v>10</v>
      </c>
      <c r="F27" s="1" t="str">
        <f t="shared" si="1"/>
        <v>4</v>
      </c>
      <c r="G27" s="69">
        <f t="shared" si="3"/>
        <v>0</v>
      </c>
      <c r="H27" s="69">
        <f t="shared" si="4"/>
        <v>0</v>
      </c>
      <c r="I27" s="1">
        <f t="shared" si="5"/>
        <v>0</v>
      </c>
      <c r="J27" s="1">
        <f t="shared" si="6"/>
        <v>0</v>
      </c>
      <c r="K27" s="1">
        <f t="shared" si="7"/>
        <v>0</v>
      </c>
      <c r="L27" s="1">
        <f t="shared" si="8"/>
        <v>0</v>
      </c>
      <c r="M27" s="1">
        <f t="shared" si="9"/>
        <v>0</v>
      </c>
      <c r="N27" s="1">
        <f t="shared" si="10"/>
        <v>0</v>
      </c>
      <c r="O27" s="1">
        <f t="shared" si="11"/>
        <v>0</v>
      </c>
      <c r="P27" s="1">
        <f t="shared" si="12"/>
        <v>0</v>
      </c>
      <c r="Q27" s="1">
        <f t="shared" si="13"/>
        <v>0</v>
      </c>
      <c r="R27" s="81">
        <f t="shared" si="14"/>
        <v>0</v>
      </c>
      <c r="S27">
        <f t="shared" si="15"/>
        <v>0</v>
      </c>
      <c r="T27">
        <f t="shared" si="16"/>
        <v>0</v>
      </c>
      <c r="X27" s="79">
        <v>10</v>
      </c>
      <c r="Y27" s="79">
        <v>0</v>
      </c>
      <c r="Z27" s="79">
        <v>0</v>
      </c>
      <c r="AI27" s="33" t="str">
        <f t="shared" si="18"/>
        <v>933</v>
      </c>
      <c r="AJ27" s="35" t="s">
        <v>64</v>
      </c>
      <c r="AK27" s="36">
        <v>198</v>
      </c>
      <c r="AL27" s="37">
        <v>1000</v>
      </c>
      <c r="AM27" s="37">
        <v>5</v>
      </c>
      <c r="AN27" s="74">
        <f t="shared" si="17"/>
        <v>5</v>
      </c>
    </row>
    <row r="28" spans="2:40" ht="28.05" customHeight="1" thickBot="1">
      <c r="B28" s="40" t="s">
        <v>103</v>
      </c>
      <c r="C28" s="47">
        <v>69110</v>
      </c>
      <c r="D28" s="76" t="s">
        <v>116</v>
      </c>
      <c r="E28" s="8">
        <v>5</v>
      </c>
      <c r="F28" s="1" t="str">
        <f t="shared" si="1"/>
        <v>0</v>
      </c>
      <c r="G28" s="69">
        <f t="shared" si="3"/>
        <v>0</v>
      </c>
      <c r="H28" s="69">
        <f t="shared" si="4"/>
        <v>0</v>
      </c>
      <c r="I28" s="1">
        <f t="shared" si="5"/>
        <v>0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N28" s="1">
        <f t="shared" si="10"/>
        <v>0</v>
      </c>
      <c r="O28" s="1">
        <f t="shared" si="11"/>
        <v>0</v>
      </c>
      <c r="P28" s="1">
        <f t="shared" si="12"/>
        <v>0</v>
      </c>
      <c r="Q28" s="1">
        <f t="shared" si="13"/>
        <v>0</v>
      </c>
      <c r="R28" s="81">
        <f t="shared" si="14"/>
        <v>0</v>
      </c>
      <c r="S28">
        <f t="shared" si="15"/>
        <v>0</v>
      </c>
      <c r="T28">
        <f t="shared" si="16"/>
        <v>0</v>
      </c>
      <c r="X28" s="79">
        <v>0</v>
      </c>
      <c r="Y28" s="79">
        <v>0</v>
      </c>
      <c r="Z28" s="79">
        <v>5</v>
      </c>
      <c r="AI28" s="33" t="str">
        <f t="shared" si="18"/>
        <v>411</v>
      </c>
      <c r="AJ28" s="35" t="s">
        <v>65</v>
      </c>
      <c r="AK28" s="36">
        <v>198</v>
      </c>
      <c r="AL28" s="37">
        <v>1000</v>
      </c>
      <c r="AM28" s="37">
        <v>5</v>
      </c>
      <c r="AN28" s="74">
        <f t="shared" si="17"/>
        <v>5</v>
      </c>
    </row>
    <row r="29" spans="2:40" ht="28.05" customHeight="1" thickBot="1">
      <c r="B29" s="40" t="s">
        <v>103</v>
      </c>
      <c r="C29" s="47">
        <v>38073</v>
      </c>
      <c r="D29" s="76" t="s">
        <v>118</v>
      </c>
      <c r="E29" s="8">
        <v>4</v>
      </c>
      <c r="F29" s="1" t="str">
        <f t="shared" si="1"/>
        <v>3</v>
      </c>
      <c r="G29" s="69">
        <f t="shared" si="3"/>
        <v>0</v>
      </c>
      <c r="H29" s="69">
        <f t="shared" si="4"/>
        <v>0</v>
      </c>
      <c r="I29" s="1">
        <f t="shared" si="5"/>
        <v>0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N29" s="1">
        <f t="shared" si="10"/>
        <v>0</v>
      </c>
      <c r="O29" s="1">
        <f t="shared" si="11"/>
        <v>0</v>
      </c>
      <c r="P29" s="1">
        <f t="shared" si="12"/>
        <v>0</v>
      </c>
      <c r="Q29" s="1">
        <f t="shared" si="13"/>
        <v>0</v>
      </c>
      <c r="R29" s="81">
        <f t="shared" si="14"/>
        <v>0</v>
      </c>
      <c r="S29">
        <f t="shared" si="15"/>
        <v>0</v>
      </c>
      <c r="T29">
        <f t="shared" si="16"/>
        <v>0</v>
      </c>
      <c r="X29" s="79">
        <v>0</v>
      </c>
      <c r="Y29" s="79">
        <v>0</v>
      </c>
      <c r="Z29" s="79">
        <v>4</v>
      </c>
      <c r="AI29" s="33" t="str">
        <f>RIGHT(AI4,2)</f>
        <v>08</v>
      </c>
      <c r="AJ29" s="15" t="s">
        <v>51</v>
      </c>
      <c r="AK29" s="16">
        <v>999</v>
      </c>
      <c r="AL29" s="17">
        <v>1000</v>
      </c>
      <c r="AM29" s="17">
        <v>5</v>
      </c>
      <c r="AN29" s="74">
        <f t="shared" si="17"/>
        <v>5</v>
      </c>
    </row>
    <row r="30" spans="2:40" ht="28.05" customHeight="1" thickBot="1">
      <c r="B30" s="40" t="s">
        <v>103</v>
      </c>
      <c r="C30" s="47">
        <v>91198</v>
      </c>
      <c r="D30" s="76" t="s">
        <v>92</v>
      </c>
      <c r="E30" s="8">
        <v>4</v>
      </c>
      <c r="F30" s="1" t="str">
        <f t="shared" si="1"/>
        <v>8</v>
      </c>
      <c r="G30" s="69">
        <f t="shared" si="3"/>
        <v>0</v>
      </c>
      <c r="H30" s="69">
        <f t="shared" si="4"/>
        <v>0</v>
      </c>
      <c r="I30" s="1">
        <f t="shared" si="5"/>
        <v>0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N30" s="1">
        <f t="shared" si="10"/>
        <v>0</v>
      </c>
      <c r="O30" s="1">
        <f t="shared" si="11"/>
        <v>0</v>
      </c>
      <c r="P30" s="1">
        <f t="shared" si="12"/>
        <v>0</v>
      </c>
      <c r="Q30" s="1">
        <f t="shared" si="13"/>
        <v>4</v>
      </c>
      <c r="R30" s="81">
        <f t="shared" si="14"/>
        <v>4</v>
      </c>
      <c r="S30">
        <f t="shared" si="15"/>
        <v>0</v>
      </c>
      <c r="T30">
        <f t="shared" si="16"/>
        <v>4</v>
      </c>
      <c r="X30" s="79">
        <v>0</v>
      </c>
      <c r="Y30" s="79">
        <v>0</v>
      </c>
      <c r="Z30" s="79">
        <v>4</v>
      </c>
      <c r="AI30" s="33" t="str">
        <f t="shared" ref="AI30:AI31" si="19">RIGHT(AI5,2)</f>
        <v>03</v>
      </c>
      <c r="AJ30" s="15" t="s">
        <v>52</v>
      </c>
      <c r="AK30" s="16">
        <v>999</v>
      </c>
      <c r="AL30" s="17">
        <v>1000</v>
      </c>
      <c r="AM30" s="17">
        <v>5</v>
      </c>
      <c r="AN30" s="74">
        <f t="shared" si="17"/>
        <v>5</v>
      </c>
    </row>
    <row r="31" spans="2:40" ht="28.05" customHeight="1" thickBot="1">
      <c r="B31" s="40" t="s">
        <v>103</v>
      </c>
      <c r="C31" s="47">
        <v>95786</v>
      </c>
      <c r="D31" s="76" t="s">
        <v>124</v>
      </c>
      <c r="E31" s="8">
        <v>4</v>
      </c>
      <c r="F31" s="1" t="str">
        <f t="shared" si="1"/>
        <v>6</v>
      </c>
      <c r="G31" s="69">
        <f t="shared" si="3"/>
        <v>0</v>
      </c>
      <c r="H31" s="69">
        <f t="shared" si="4"/>
        <v>0</v>
      </c>
      <c r="I31" s="1">
        <f t="shared" si="5"/>
        <v>0</v>
      </c>
      <c r="J31" s="1">
        <f t="shared" si="6"/>
        <v>0</v>
      </c>
      <c r="K31" s="1">
        <f t="shared" si="7"/>
        <v>0</v>
      </c>
      <c r="L31" s="1">
        <f t="shared" si="8"/>
        <v>0</v>
      </c>
      <c r="M31" s="1">
        <f t="shared" si="9"/>
        <v>0</v>
      </c>
      <c r="N31" s="1">
        <f t="shared" si="10"/>
        <v>0</v>
      </c>
      <c r="O31" s="1">
        <f t="shared" si="11"/>
        <v>0</v>
      </c>
      <c r="P31" s="1">
        <f t="shared" si="12"/>
        <v>0</v>
      </c>
      <c r="Q31" s="1">
        <f t="shared" si="13"/>
        <v>0</v>
      </c>
      <c r="R31" s="81">
        <f t="shared" si="14"/>
        <v>0</v>
      </c>
      <c r="S31">
        <f t="shared" si="15"/>
        <v>0</v>
      </c>
      <c r="T31">
        <f t="shared" si="16"/>
        <v>0</v>
      </c>
      <c r="X31" s="79">
        <v>0</v>
      </c>
      <c r="Y31" s="79">
        <v>0</v>
      </c>
      <c r="Z31" s="79">
        <v>4</v>
      </c>
      <c r="AI31" s="33" t="str">
        <f t="shared" si="19"/>
        <v>38</v>
      </c>
      <c r="AJ31" s="15" t="s">
        <v>53</v>
      </c>
      <c r="AK31" s="16">
        <v>999</v>
      </c>
      <c r="AL31" s="17">
        <v>1000</v>
      </c>
      <c r="AM31" s="17">
        <v>5</v>
      </c>
      <c r="AN31" s="74">
        <f t="shared" si="17"/>
        <v>5</v>
      </c>
    </row>
    <row r="32" spans="2:40" ht="28.05" customHeight="1" thickBot="1">
      <c r="B32" s="40" t="s">
        <v>103</v>
      </c>
      <c r="C32" s="47">
        <v>56262</v>
      </c>
      <c r="D32" s="76" t="s">
        <v>125</v>
      </c>
      <c r="E32" s="8">
        <v>5</v>
      </c>
      <c r="F32" s="1" t="str">
        <f t="shared" si="1"/>
        <v>2</v>
      </c>
      <c r="G32" s="69">
        <f t="shared" si="3"/>
        <v>0</v>
      </c>
      <c r="H32" s="69">
        <f t="shared" si="4"/>
        <v>0</v>
      </c>
      <c r="I32" s="1">
        <f t="shared" si="5"/>
        <v>0</v>
      </c>
      <c r="J32" s="1">
        <f t="shared" si="6"/>
        <v>0</v>
      </c>
      <c r="K32" s="1">
        <f t="shared" si="7"/>
        <v>0</v>
      </c>
      <c r="L32" s="1">
        <f t="shared" si="8"/>
        <v>0</v>
      </c>
      <c r="M32" s="1">
        <f t="shared" si="9"/>
        <v>0</v>
      </c>
      <c r="N32" s="1">
        <f t="shared" si="10"/>
        <v>0</v>
      </c>
      <c r="O32" s="1">
        <f t="shared" si="11"/>
        <v>0</v>
      </c>
      <c r="P32" s="1">
        <f t="shared" si="12"/>
        <v>0</v>
      </c>
      <c r="Q32" s="1">
        <f t="shared" si="13"/>
        <v>0</v>
      </c>
      <c r="R32" s="81">
        <f t="shared" si="14"/>
        <v>0</v>
      </c>
      <c r="S32">
        <f t="shared" si="15"/>
        <v>0</v>
      </c>
      <c r="T32">
        <f t="shared" si="16"/>
        <v>0</v>
      </c>
      <c r="X32" s="79">
        <v>0</v>
      </c>
      <c r="Y32" s="79">
        <v>0</v>
      </c>
      <c r="Z32" s="79">
        <v>5</v>
      </c>
      <c r="AI32" s="33" t="str">
        <f>IF(C2="","",RIGHT(AI4,1))</f>
        <v>8</v>
      </c>
      <c r="AJ32" s="15" t="s">
        <v>54</v>
      </c>
      <c r="AK32" s="18">
        <v>9999</v>
      </c>
      <c r="AL32" s="17">
        <v>200</v>
      </c>
      <c r="AM32" s="17">
        <v>1</v>
      </c>
      <c r="AN32" s="74">
        <f t="shared" si="17"/>
        <v>1</v>
      </c>
    </row>
    <row r="33" spans="2:26" ht="28.05" customHeight="1">
      <c r="B33" s="40" t="s">
        <v>103</v>
      </c>
      <c r="C33" s="47"/>
      <c r="D33" s="76"/>
      <c r="E33" s="8"/>
      <c r="F33" s="1" t="str">
        <f t="shared" si="1"/>
        <v>0</v>
      </c>
      <c r="G33" s="69">
        <f t="shared" si="3"/>
        <v>0</v>
      </c>
      <c r="H33" s="69">
        <f t="shared" si="4"/>
        <v>0</v>
      </c>
      <c r="I33" s="1">
        <f t="shared" si="5"/>
        <v>0</v>
      </c>
      <c r="J33" s="1">
        <f t="shared" si="6"/>
        <v>0</v>
      </c>
      <c r="K33" s="1">
        <f t="shared" si="7"/>
        <v>0</v>
      </c>
      <c r="L33" s="1">
        <f t="shared" si="8"/>
        <v>0</v>
      </c>
      <c r="M33" s="1">
        <f t="shared" si="9"/>
        <v>0</v>
      </c>
      <c r="N33" s="1">
        <f t="shared" si="10"/>
        <v>0</v>
      </c>
      <c r="O33" s="1">
        <f t="shared" si="11"/>
        <v>0</v>
      </c>
      <c r="P33" s="1">
        <f t="shared" si="12"/>
        <v>0</v>
      </c>
      <c r="Q33" s="1">
        <f t="shared" si="13"/>
        <v>0</v>
      </c>
      <c r="R33" s="81">
        <f t="shared" si="14"/>
        <v>0</v>
      </c>
      <c r="S33">
        <f t="shared" si="15"/>
        <v>0</v>
      </c>
      <c r="T33">
        <f t="shared" si="16"/>
        <v>0</v>
      </c>
      <c r="X33" s="79"/>
      <c r="Y33" s="79"/>
      <c r="Z33" s="79"/>
    </row>
    <row r="34" spans="2:26" ht="28.05" customHeight="1">
      <c r="B34" s="40" t="s">
        <v>103</v>
      </c>
      <c r="C34" s="47"/>
      <c r="D34" s="76"/>
      <c r="E34" s="8"/>
      <c r="F34" s="1" t="str">
        <f t="shared" si="1"/>
        <v>0</v>
      </c>
      <c r="G34" s="69">
        <f t="shared" si="3"/>
        <v>0</v>
      </c>
      <c r="H34" s="69">
        <f t="shared" si="4"/>
        <v>0</v>
      </c>
      <c r="I34" s="1">
        <f t="shared" si="5"/>
        <v>0</v>
      </c>
      <c r="J34" s="1">
        <f t="shared" si="6"/>
        <v>0</v>
      </c>
      <c r="K34" s="1">
        <f t="shared" si="7"/>
        <v>0</v>
      </c>
      <c r="L34" s="1">
        <f t="shared" si="8"/>
        <v>0</v>
      </c>
      <c r="M34" s="1">
        <f t="shared" si="9"/>
        <v>0</v>
      </c>
      <c r="N34" s="1">
        <f t="shared" si="10"/>
        <v>0</v>
      </c>
      <c r="O34" s="1">
        <f t="shared" si="11"/>
        <v>0</v>
      </c>
      <c r="P34" s="1">
        <f t="shared" si="12"/>
        <v>0</v>
      </c>
      <c r="Q34" s="1">
        <f t="shared" si="13"/>
        <v>0</v>
      </c>
      <c r="R34" s="81">
        <f t="shared" si="14"/>
        <v>0</v>
      </c>
      <c r="S34">
        <f t="shared" si="15"/>
        <v>0</v>
      </c>
      <c r="T34">
        <f t="shared" si="16"/>
        <v>0</v>
      </c>
      <c r="X34" s="79"/>
      <c r="Y34" s="79"/>
      <c r="Z34" s="79"/>
    </row>
    <row r="35" spans="2:26" ht="28.05" customHeight="1">
      <c r="B35" s="40" t="s">
        <v>103</v>
      </c>
      <c r="C35" s="47"/>
      <c r="D35" s="76"/>
      <c r="E35" s="8"/>
      <c r="F35" s="1" t="str">
        <f t="shared" si="1"/>
        <v>0</v>
      </c>
      <c r="G35" s="69">
        <f t="shared" si="3"/>
        <v>0</v>
      </c>
      <c r="H35" s="69">
        <f t="shared" si="4"/>
        <v>0</v>
      </c>
      <c r="I35" s="1">
        <f t="shared" si="5"/>
        <v>0</v>
      </c>
      <c r="J35" s="1">
        <f t="shared" si="6"/>
        <v>0</v>
      </c>
      <c r="K35" s="1">
        <f t="shared" si="7"/>
        <v>0</v>
      </c>
      <c r="L35" s="1">
        <f t="shared" si="8"/>
        <v>0</v>
      </c>
      <c r="M35" s="1">
        <f t="shared" si="9"/>
        <v>0</v>
      </c>
      <c r="N35" s="1">
        <f t="shared" si="10"/>
        <v>0</v>
      </c>
      <c r="O35" s="1">
        <f t="shared" si="11"/>
        <v>0</v>
      </c>
      <c r="P35" s="1">
        <f t="shared" si="12"/>
        <v>0</v>
      </c>
      <c r="Q35" s="1">
        <f t="shared" si="13"/>
        <v>0</v>
      </c>
      <c r="R35" s="81">
        <f t="shared" si="14"/>
        <v>0</v>
      </c>
      <c r="S35">
        <f t="shared" si="15"/>
        <v>0</v>
      </c>
      <c r="T35">
        <f t="shared" si="16"/>
        <v>0</v>
      </c>
      <c r="X35" s="79"/>
      <c r="Y35" s="79"/>
      <c r="Z35" s="79"/>
    </row>
    <row r="36" spans="2:26" ht="28.05" customHeight="1">
      <c r="B36" s="40" t="s">
        <v>103</v>
      </c>
      <c r="C36" s="47"/>
      <c r="D36" s="76"/>
      <c r="E36" s="8"/>
      <c r="F36" s="1" t="str">
        <f t="shared" si="1"/>
        <v>0</v>
      </c>
      <c r="G36" s="69">
        <f t="shared" si="3"/>
        <v>0</v>
      </c>
      <c r="H36" s="69">
        <f t="shared" si="4"/>
        <v>0</v>
      </c>
      <c r="I36" s="1">
        <f t="shared" si="5"/>
        <v>0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N36" s="1">
        <f t="shared" si="10"/>
        <v>0</v>
      </c>
      <c r="O36" s="1">
        <f t="shared" si="11"/>
        <v>0</v>
      </c>
      <c r="P36" s="1">
        <f t="shared" si="12"/>
        <v>0</v>
      </c>
      <c r="Q36" s="1">
        <f t="shared" si="13"/>
        <v>0</v>
      </c>
      <c r="R36" s="81">
        <f t="shared" si="14"/>
        <v>0</v>
      </c>
      <c r="S36">
        <f t="shared" si="15"/>
        <v>0</v>
      </c>
      <c r="T36">
        <f t="shared" si="16"/>
        <v>0</v>
      </c>
      <c r="X36" s="79"/>
      <c r="Y36" s="79"/>
      <c r="Z36" s="79"/>
    </row>
    <row r="37" spans="2:26" ht="28.05" customHeight="1">
      <c r="B37" s="40" t="s">
        <v>103</v>
      </c>
      <c r="C37" s="47"/>
      <c r="D37" s="76"/>
      <c r="E37" s="8"/>
      <c r="F37" s="1" t="str">
        <f t="shared" si="1"/>
        <v>0</v>
      </c>
      <c r="G37" s="69">
        <f t="shared" si="3"/>
        <v>0</v>
      </c>
      <c r="H37" s="69">
        <f t="shared" si="4"/>
        <v>0</v>
      </c>
      <c r="I37" s="1">
        <f t="shared" si="5"/>
        <v>0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N37" s="1">
        <f t="shared" si="10"/>
        <v>0</v>
      </c>
      <c r="O37" s="1">
        <f t="shared" si="11"/>
        <v>0</v>
      </c>
      <c r="P37" s="1">
        <f t="shared" si="12"/>
        <v>0</v>
      </c>
      <c r="Q37" s="1">
        <f t="shared" si="13"/>
        <v>0</v>
      </c>
      <c r="R37" s="81">
        <f t="shared" si="14"/>
        <v>0</v>
      </c>
      <c r="S37">
        <f t="shared" si="15"/>
        <v>0</v>
      </c>
      <c r="T37">
        <f t="shared" si="16"/>
        <v>0</v>
      </c>
      <c r="X37" s="79"/>
      <c r="Y37" s="79"/>
      <c r="Z37" s="79"/>
    </row>
    <row r="38" spans="2:26" ht="28.05" customHeight="1">
      <c r="B38" s="40" t="s">
        <v>103</v>
      </c>
      <c r="C38" s="47"/>
      <c r="D38" s="76"/>
      <c r="E38" s="8"/>
      <c r="F38" s="1" t="str">
        <f t="shared" si="1"/>
        <v>0</v>
      </c>
      <c r="G38" s="69">
        <f t="shared" si="3"/>
        <v>0</v>
      </c>
      <c r="H38" s="69">
        <f t="shared" si="4"/>
        <v>0</v>
      </c>
      <c r="I38" s="1">
        <f t="shared" si="5"/>
        <v>0</v>
      </c>
      <c r="J38" s="1">
        <f t="shared" si="6"/>
        <v>0</v>
      </c>
      <c r="K38" s="1">
        <f t="shared" si="7"/>
        <v>0</v>
      </c>
      <c r="L38" s="1">
        <f t="shared" si="8"/>
        <v>0</v>
      </c>
      <c r="M38" s="1">
        <f t="shared" si="9"/>
        <v>0</v>
      </c>
      <c r="N38" s="1">
        <f t="shared" si="10"/>
        <v>0</v>
      </c>
      <c r="O38" s="1">
        <f t="shared" si="11"/>
        <v>0</v>
      </c>
      <c r="P38" s="1">
        <f t="shared" si="12"/>
        <v>0</v>
      </c>
      <c r="Q38" s="1">
        <f t="shared" si="13"/>
        <v>0</v>
      </c>
      <c r="R38" s="81">
        <f t="shared" si="14"/>
        <v>0</v>
      </c>
      <c r="S38">
        <f t="shared" si="15"/>
        <v>0</v>
      </c>
      <c r="T38">
        <f t="shared" si="16"/>
        <v>0</v>
      </c>
      <c r="X38" s="79"/>
      <c r="Y38" s="79"/>
      <c r="Z38" s="79"/>
    </row>
    <row r="39" spans="2:26" ht="28.05" customHeight="1">
      <c r="B39" s="40" t="s">
        <v>103</v>
      </c>
      <c r="C39" s="47"/>
      <c r="D39" s="76"/>
      <c r="E39" s="8"/>
      <c r="F39" s="1" t="str">
        <f t="shared" si="1"/>
        <v>0</v>
      </c>
      <c r="G39" s="69">
        <f t="shared" si="3"/>
        <v>0</v>
      </c>
      <c r="H39" s="69">
        <f t="shared" si="4"/>
        <v>0</v>
      </c>
      <c r="I39" s="1">
        <f t="shared" si="5"/>
        <v>0</v>
      </c>
      <c r="J39" s="1">
        <f t="shared" si="6"/>
        <v>0</v>
      </c>
      <c r="K39" s="1">
        <f t="shared" si="7"/>
        <v>0</v>
      </c>
      <c r="L39" s="1">
        <f t="shared" si="8"/>
        <v>0</v>
      </c>
      <c r="M39" s="1">
        <f t="shared" si="9"/>
        <v>0</v>
      </c>
      <c r="N39" s="1">
        <f t="shared" si="10"/>
        <v>0</v>
      </c>
      <c r="O39" s="1">
        <f t="shared" si="11"/>
        <v>0</v>
      </c>
      <c r="P39" s="1">
        <f t="shared" si="12"/>
        <v>0</v>
      </c>
      <c r="Q39" s="1">
        <f t="shared" si="13"/>
        <v>0</v>
      </c>
      <c r="R39" s="81">
        <f t="shared" si="14"/>
        <v>0</v>
      </c>
      <c r="S39">
        <f t="shared" si="15"/>
        <v>0</v>
      </c>
      <c r="T39">
        <f t="shared" si="16"/>
        <v>0</v>
      </c>
      <c r="X39" s="79"/>
      <c r="Y39" s="79"/>
      <c r="Z39" s="79"/>
    </row>
    <row r="40" spans="2:26" ht="28.05" customHeight="1">
      <c r="B40" s="40" t="s">
        <v>103</v>
      </c>
      <c r="C40" s="47"/>
      <c r="D40" s="76"/>
      <c r="E40" s="8"/>
      <c r="F40" s="1" t="str">
        <f t="shared" si="1"/>
        <v>0</v>
      </c>
      <c r="G40" s="69">
        <f t="shared" si="3"/>
        <v>0</v>
      </c>
      <c r="H40" s="69">
        <f t="shared" si="4"/>
        <v>0</v>
      </c>
      <c r="I40" s="1">
        <f t="shared" si="5"/>
        <v>0</v>
      </c>
      <c r="J40" s="1">
        <f t="shared" si="6"/>
        <v>0</v>
      </c>
      <c r="K40" s="1">
        <f t="shared" si="7"/>
        <v>0</v>
      </c>
      <c r="L40" s="1">
        <f t="shared" si="8"/>
        <v>0</v>
      </c>
      <c r="M40" s="1">
        <f t="shared" si="9"/>
        <v>0</v>
      </c>
      <c r="N40" s="1">
        <f t="shared" si="10"/>
        <v>0</v>
      </c>
      <c r="O40" s="1">
        <f t="shared" si="11"/>
        <v>0</v>
      </c>
      <c r="P40" s="1">
        <f t="shared" si="12"/>
        <v>0</v>
      </c>
      <c r="Q40" s="1">
        <f t="shared" si="13"/>
        <v>0</v>
      </c>
      <c r="R40" s="81">
        <f t="shared" si="14"/>
        <v>0</v>
      </c>
      <c r="S40">
        <f t="shared" si="15"/>
        <v>0</v>
      </c>
      <c r="T40">
        <f t="shared" si="16"/>
        <v>0</v>
      </c>
      <c r="X40" s="79"/>
      <c r="Y40" s="79"/>
      <c r="Z40" s="79"/>
    </row>
    <row r="41" spans="2:26" ht="28.05" customHeight="1">
      <c r="B41" s="40" t="s">
        <v>103</v>
      </c>
      <c r="C41" s="47"/>
      <c r="D41" s="76"/>
      <c r="E41" s="8"/>
      <c r="F41" s="1" t="str">
        <f t="shared" si="1"/>
        <v>0</v>
      </c>
      <c r="G41" s="69">
        <f t="shared" si="3"/>
        <v>0</v>
      </c>
      <c r="H41" s="69">
        <f t="shared" si="4"/>
        <v>0</v>
      </c>
      <c r="I41" s="1">
        <f t="shared" si="5"/>
        <v>0</v>
      </c>
      <c r="J41" s="1">
        <f t="shared" si="6"/>
        <v>0</v>
      </c>
      <c r="K41" s="1">
        <f t="shared" si="7"/>
        <v>0</v>
      </c>
      <c r="L41" s="1">
        <f t="shared" si="8"/>
        <v>0</v>
      </c>
      <c r="M41" s="1">
        <f t="shared" si="9"/>
        <v>0</v>
      </c>
      <c r="N41" s="1">
        <f t="shared" si="10"/>
        <v>0</v>
      </c>
      <c r="O41" s="1">
        <f t="shared" si="11"/>
        <v>0</v>
      </c>
      <c r="P41" s="1">
        <f t="shared" si="12"/>
        <v>0</v>
      </c>
      <c r="Q41" s="1">
        <f t="shared" si="13"/>
        <v>0</v>
      </c>
      <c r="R41" s="81">
        <f t="shared" si="14"/>
        <v>0</v>
      </c>
      <c r="S41">
        <f t="shared" si="15"/>
        <v>0</v>
      </c>
      <c r="T41">
        <f t="shared" si="16"/>
        <v>0</v>
      </c>
      <c r="X41" s="79"/>
      <c r="Y41" s="79"/>
      <c r="Z41" s="79"/>
    </row>
    <row r="42" spans="2:26" ht="28.05" customHeight="1">
      <c r="B42" s="40" t="s">
        <v>103</v>
      </c>
      <c r="C42" s="47"/>
      <c r="D42" s="76"/>
      <c r="E42" s="8"/>
      <c r="F42" s="1" t="str">
        <f t="shared" si="1"/>
        <v>0</v>
      </c>
      <c r="G42" s="69">
        <f t="shared" si="3"/>
        <v>0</v>
      </c>
      <c r="H42" s="69">
        <f t="shared" si="4"/>
        <v>0</v>
      </c>
      <c r="I42" s="1">
        <f t="shared" si="5"/>
        <v>0</v>
      </c>
      <c r="J42" s="1">
        <f t="shared" si="6"/>
        <v>0</v>
      </c>
      <c r="K42" s="1">
        <f t="shared" si="7"/>
        <v>0</v>
      </c>
      <c r="L42" s="1">
        <f t="shared" si="8"/>
        <v>0</v>
      </c>
      <c r="M42" s="1">
        <f t="shared" si="9"/>
        <v>0</v>
      </c>
      <c r="N42" s="1">
        <f t="shared" si="10"/>
        <v>0</v>
      </c>
      <c r="O42" s="1">
        <f t="shared" si="11"/>
        <v>0</v>
      </c>
      <c r="P42" s="1">
        <f t="shared" si="12"/>
        <v>0</v>
      </c>
      <c r="Q42" s="1">
        <f t="shared" si="13"/>
        <v>0</v>
      </c>
      <c r="R42" s="81">
        <f t="shared" si="14"/>
        <v>0</v>
      </c>
      <c r="S42">
        <f t="shared" si="15"/>
        <v>0</v>
      </c>
      <c r="T42">
        <f t="shared" si="16"/>
        <v>0</v>
      </c>
      <c r="X42" s="79"/>
      <c r="Y42" s="79"/>
      <c r="Z42" s="79"/>
    </row>
    <row r="43" spans="2:26" ht="28.05" customHeight="1">
      <c r="B43" s="40" t="s">
        <v>103</v>
      </c>
      <c r="C43" s="47"/>
      <c r="D43" s="76"/>
      <c r="E43" s="8"/>
      <c r="F43" s="1" t="str">
        <f t="shared" si="1"/>
        <v>0</v>
      </c>
      <c r="G43" s="69">
        <f t="shared" si="3"/>
        <v>0</v>
      </c>
      <c r="H43" s="69">
        <f t="shared" si="4"/>
        <v>0</v>
      </c>
      <c r="I43" s="1">
        <f t="shared" si="5"/>
        <v>0</v>
      </c>
      <c r="J43" s="1">
        <f t="shared" si="6"/>
        <v>0</v>
      </c>
      <c r="K43" s="1">
        <f t="shared" si="7"/>
        <v>0</v>
      </c>
      <c r="L43" s="1">
        <f t="shared" si="8"/>
        <v>0</v>
      </c>
      <c r="M43" s="1">
        <f t="shared" si="9"/>
        <v>0</v>
      </c>
      <c r="N43" s="1">
        <f t="shared" si="10"/>
        <v>0</v>
      </c>
      <c r="O43" s="1">
        <f t="shared" si="11"/>
        <v>0</v>
      </c>
      <c r="P43" s="1">
        <f t="shared" si="12"/>
        <v>0</v>
      </c>
      <c r="Q43" s="1">
        <f t="shared" si="13"/>
        <v>0</v>
      </c>
      <c r="R43" s="81">
        <f t="shared" si="14"/>
        <v>0</v>
      </c>
      <c r="S43">
        <f t="shared" si="15"/>
        <v>0</v>
      </c>
      <c r="T43">
        <f t="shared" si="16"/>
        <v>0</v>
      </c>
    </row>
    <row r="44" spans="2:26" ht="28.05" customHeight="1">
      <c r="B44" s="40" t="s">
        <v>103</v>
      </c>
      <c r="C44" s="47"/>
      <c r="D44" s="76"/>
      <c r="E44" s="8"/>
      <c r="F44" s="1" t="str">
        <f t="shared" si="1"/>
        <v>0</v>
      </c>
      <c r="G44" s="69">
        <f t="shared" si="3"/>
        <v>0</v>
      </c>
      <c r="H44" s="69">
        <f t="shared" si="4"/>
        <v>0</v>
      </c>
      <c r="I44" s="1">
        <f t="shared" si="5"/>
        <v>0</v>
      </c>
      <c r="J44" s="1">
        <f t="shared" si="6"/>
        <v>0</v>
      </c>
      <c r="K44" s="1">
        <f t="shared" si="7"/>
        <v>0</v>
      </c>
      <c r="L44" s="1">
        <f t="shared" si="8"/>
        <v>0</v>
      </c>
      <c r="M44" s="1">
        <f t="shared" si="9"/>
        <v>0</v>
      </c>
      <c r="N44" s="1">
        <f t="shared" si="10"/>
        <v>0</v>
      </c>
      <c r="O44" s="1">
        <f t="shared" si="11"/>
        <v>0</v>
      </c>
      <c r="P44" s="1">
        <f t="shared" si="12"/>
        <v>0</v>
      </c>
      <c r="Q44" s="1">
        <f t="shared" si="13"/>
        <v>0</v>
      </c>
      <c r="R44" s="81">
        <f t="shared" si="14"/>
        <v>0</v>
      </c>
      <c r="S44">
        <f t="shared" si="15"/>
        <v>0</v>
      </c>
      <c r="T44">
        <f t="shared" si="16"/>
        <v>0</v>
      </c>
    </row>
  </sheetData>
  <sortState xmlns:xlrd2="http://schemas.microsoft.com/office/spreadsheetml/2017/richdata2" ref="C6:E26">
    <sortCondition ref="C6:C26"/>
  </sortState>
  <mergeCells count="4">
    <mergeCell ref="R1:S2"/>
    <mergeCell ref="U1:V1"/>
    <mergeCell ref="X1:AE1"/>
    <mergeCell ref="B4:C4"/>
  </mergeCells>
  <conditionalFormatting sqref="V6:V15">
    <cfRule type="aboveAverage" dxfId="1" priority="1" aboveAverage="0"/>
    <cfRule type="aboveAverage" dxfId="0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22901-4440-479A-B115-698F630BACD3}">
  <sheetPr codeName="Hoja2"/>
  <dimension ref="B1:AE44"/>
  <sheetViews>
    <sheetView showGridLines="0"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U4" sqref="U4"/>
    </sheetView>
  </sheetViews>
  <sheetFormatPr baseColWidth="10" defaultRowHeight="14.4"/>
  <cols>
    <col min="1" max="1" width="3.77734375" customWidth="1"/>
    <col min="2" max="2" width="8.5546875" style="2" customWidth="1"/>
    <col min="3" max="3" width="12.77734375" style="2" customWidth="1"/>
    <col min="4" max="4" width="25.21875" customWidth="1"/>
    <col min="5" max="5" width="14.88671875" style="2" customWidth="1"/>
    <col min="6" max="6" width="13.77734375" hidden="1" customWidth="1"/>
    <col min="7" max="7" width="7.33203125" hidden="1" customWidth="1"/>
    <col min="8" max="8" width="8.77734375" hidden="1" customWidth="1"/>
    <col min="9" max="9" width="7.5546875" hidden="1" customWidth="1"/>
    <col min="10" max="11" width="9.33203125" hidden="1" customWidth="1"/>
    <col min="12" max="13" width="8.77734375" hidden="1" customWidth="1"/>
    <col min="14" max="14" width="15.77734375" hidden="1" customWidth="1"/>
    <col min="15" max="15" width="14.21875" hidden="1" customWidth="1"/>
    <col min="16" max="16" width="11.44140625" hidden="1" customWidth="1"/>
    <col min="17" max="17" width="13.21875" hidden="1" customWidth="1"/>
    <col min="18" max="18" width="13.77734375" style="56" customWidth="1"/>
    <col min="19" max="19" width="11.44140625" hidden="1" customWidth="1"/>
    <col min="20" max="20" width="11.88671875" hidden="1" customWidth="1"/>
    <col min="21" max="21" width="16" style="2" customWidth="1"/>
    <col min="22" max="22" width="17.88671875" customWidth="1"/>
    <col min="23" max="23" width="2.21875" customWidth="1"/>
  </cols>
  <sheetData>
    <row r="1" spans="2:31" s="2" customFormat="1" ht="25.8">
      <c r="C1" s="49" t="s">
        <v>67</v>
      </c>
      <c r="D1" s="48" t="s">
        <v>96</v>
      </c>
      <c r="E1" s="48" t="s">
        <v>80</v>
      </c>
      <c r="R1" s="85"/>
      <c r="S1" s="85"/>
      <c r="T1" s="44"/>
      <c r="U1" s="86" t="s">
        <v>81</v>
      </c>
      <c r="V1" s="86"/>
      <c r="X1" s="86" t="s">
        <v>82</v>
      </c>
      <c r="Y1" s="86"/>
      <c r="Z1" s="86"/>
      <c r="AA1" s="86"/>
      <c r="AB1" s="86"/>
      <c r="AC1" s="86"/>
      <c r="AD1" s="86"/>
      <c r="AE1" s="86"/>
    </row>
    <row r="2" spans="2:31" s="43" customFormat="1" ht="28.5" customHeight="1">
      <c r="C2" s="61" t="s">
        <v>94</v>
      </c>
      <c r="D2" s="62" t="s">
        <v>95</v>
      </c>
      <c r="E2" s="63">
        <v>45250</v>
      </c>
      <c r="R2" s="85"/>
      <c r="S2" s="85"/>
      <c r="T2" s="44"/>
      <c r="U2" s="64">
        <v>54289</v>
      </c>
      <c r="V2" s="64">
        <v>25296</v>
      </c>
      <c r="W2" s="65"/>
      <c r="X2" s="64">
        <v>62391</v>
      </c>
      <c r="Y2" s="64">
        <v>43696</v>
      </c>
      <c r="Z2" s="64">
        <v>88509</v>
      </c>
      <c r="AA2" s="64">
        <v>38454</v>
      </c>
      <c r="AB2" s="64">
        <v>24492</v>
      </c>
      <c r="AC2" s="64">
        <v>79138</v>
      </c>
      <c r="AD2" s="64">
        <v>36142</v>
      </c>
      <c r="AE2" s="64">
        <v>87092</v>
      </c>
    </row>
    <row r="3" spans="2:31" ht="25.95" customHeight="1">
      <c r="E3" s="53" t="s">
        <v>90</v>
      </c>
      <c r="U3" s="52" t="s">
        <v>84</v>
      </c>
      <c r="V3" s="52" t="s">
        <v>83</v>
      </c>
    </row>
    <row r="4" spans="2:31" ht="46.5" customHeight="1">
      <c r="B4" s="87" t="s">
        <v>93</v>
      </c>
      <c r="C4" s="88"/>
      <c r="D4" s="50" t="s">
        <v>91</v>
      </c>
      <c r="E4" s="51">
        <f>SUM(E6:E44)</f>
        <v>384</v>
      </c>
      <c r="G4" s="12" t="s">
        <v>67</v>
      </c>
      <c r="H4" s="12" t="s">
        <v>69</v>
      </c>
      <c r="I4" s="12" t="s">
        <v>70</v>
      </c>
      <c r="J4" s="32" t="s">
        <v>71</v>
      </c>
      <c r="K4" s="12" t="s">
        <v>72</v>
      </c>
      <c r="L4" s="12" t="s">
        <v>73</v>
      </c>
      <c r="M4" s="12" t="s">
        <v>55</v>
      </c>
      <c r="N4" s="12" t="s">
        <v>75</v>
      </c>
      <c r="O4" s="39" t="s">
        <v>76</v>
      </c>
      <c r="P4" s="39" t="s">
        <v>77</v>
      </c>
      <c r="Q4" s="12" t="s">
        <v>78</v>
      </c>
      <c r="R4" s="57" t="s">
        <v>79</v>
      </c>
      <c r="S4" s="54"/>
      <c r="T4" s="54"/>
      <c r="U4" s="55">
        <f>SUM(R6:R44)</f>
        <v>89</v>
      </c>
      <c r="V4" s="55">
        <f>SUM(T6:T44)</f>
        <v>89</v>
      </c>
    </row>
    <row r="5" spans="2:31">
      <c r="B5" s="60" t="s">
        <v>55</v>
      </c>
      <c r="C5" s="3" t="s">
        <v>0</v>
      </c>
      <c r="D5" s="3" t="s">
        <v>1</v>
      </c>
      <c r="E5" s="3" t="s">
        <v>2</v>
      </c>
      <c r="F5" s="3" t="s">
        <v>10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58"/>
      <c r="S5" t="s">
        <v>85</v>
      </c>
      <c r="U5" s="4" t="s">
        <v>16</v>
      </c>
      <c r="V5" s="4" t="s">
        <v>11</v>
      </c>
      <c r="W5" s="41"/>
    </row>
    <row r="6" spans="2:31">
      <c r="B6" s="40" t="s">
        <v>89</v>
      </c>
      <c r="C6" s="47">
        <v>65</v>
      </c>
      <c r="D6" s="9" t="s">
        <v>86</v>
      </c>
      <c r="E6" s="8">
        <v>5</v>
      </c>
      <c r="F6" s="1" t="str">
        <f t="shared" ref="F6:F32" si="0">RIGHT(TEXT(C6,0),1)</f>
        <v>5</v>
      </c>
      <c r="G6" s="1">
        <f>IF(C6=PREMIOS!$B$4,E6*PREMIOS!$F$4,0)</f>
        <v>0</v>
      </c>
      <c r="H6" s="1">
        <f>IF(C6=PREMIOS!$B$5,E6*PREMIOS!$F$5,0)</f>
        <v>0</v>
      </c>
      <c r="I6" s="1">
        <f>IF(C6=PREMIOS!$B$6,E6*PREMIOS!$F$6,0)</f>
        <v>0</v>
      </c>
      <c r="J6" s="1">
        <f>IF(C6=PREMIOS!$B$7,E6*PREMIOS!$F$7,0)</f>
        <v>0</v>
      </c>
      <c r="K6" s="1">
        <f>IF(C6=PREMIOS!$B$8,E6*PREMIOS!$F$8,0)</f>
        <v>0</v>
      </c>
      <c r="L6" s="1">
        <f>IF(COUNTIF(PREMIOS!$B$9:$B$16,'2022'!C6),'2022'!E6*PREMIOS!$F$9,0)</f>
        <v>0</v>
      </c>
      <c r="M6" s="1">
        <f>IF('2022'!B6="SI",'2022'!E6*PREMIOS!$F$17,0)</f>
        <v>0</v>
      </c>
      <c r="N6" s="1">
        <f>IFERROR(INDEX(PREMIOS!$B$18:$F$23,MATCH(C6,PREMIOS!$B$18:$B$23,0),5)*E6,0)</f>
        <v>0</v>
      </c>
      <c r="O6" s="1">
        <f>IFERROR(INDEX(PREMIOS!$B$24:$F$28,MATCH(LEFT(C6,3),PREMIOS!$B$24:$B$28,0),5)*E6,0)</f>
        <v>0</v>
      </c>
      <c r="P6" s="1">
        <f>IFERROR(INDEX(PREMIOS!$B$29:$F$31,MATCH(RIGHT(C6,2),PREMIOS!$B$29:$B$31,0),5)*E6,0)</f>
        <v>0</v>
      </c>
      <c r="Q6" s="1">
        <f>IFERROR(INDEX(PREMIOS!$B$32:$F$32,MATCH(RIGHT(C6,1),PREMIOS!$B$32:$B$32,0),5)*E6,0)</f>
        <v>0</v>
      </c>
      <c r="R6" s="59">
        <f>SUM(G6:Q6)</f>
        <v>0</v>
      </c>
      <c r="S6">
        <f>IF(R6&gt;40000,((R6-40000)*20%),0)</f>
        <v>0</v>
      </c>
      <c r="T6">
        <f>R6-S6</f>
        <v>0</v>
      </c>
      <c r="U6" s="45">
        <v>0</v>
      </c>
      <c r="V6" s="46">
        <f t="shared" ref="V6:V15" si="1">SUMIF($F$6:$F$44,U6,$E$6:$E$45)</f>
        <v>14</v>
      </c>
      <c r="W6" s="42"/>
    </row>
    <row r="7" spans="2:31">
      <c r="B7" s="40" t="s">
        <v>89</v>
      </c>
      <c r="C7" s="47">
        <v>5149</v>
      </c>
      <c r="D7" s="9" t="s">
        <v>32</v>
      </c>
      <c r="E7" s="8">
        <v>0</v>
      </c>
      <c r="F7" s="1" t="str">
        <f t="shared" si="0"/>
        <v>9</v>
      </c>
      <c r="G7" s="1">
        <f>IF(C7=PREMIOS!$B$4,E7*PREMIOS!$F$4,0)</f>
        <v>0</v>
      </c>
      <c r="H7" s="1">
        <f>IF(C7=PREMIOS!$B$5,E7*PREMIOS!$F$5,0)</f>
        <v>0</v>
      </c>
      <c r="I7" s="1">
        <f>IF(C7=PREMIOS!$B$6,E7*PREMIOS!$F$6,0)</f>
        <v>0</v>
      </c>
      <c r="J7" s="1">
        <f>IF(C7=PREMIOS!$B$7,E7*PREMIOS!$F$7,0)</f>
        <v>0</v>
      </c>
      <c r="K7" s="1">
        <f>IF(C7=PREMIOS!$B$8,E7*PREMIOS!$F$8,0)</f>
        <v>0</v>
      </c>
      <c r="L7" s="1">
        <f>IF(COUNTIF(PREMIOS!$B$9:$B$16,'2022'!C7),'2022'!E7*PREMIOS!$F$9,0)</f>
        <v>0</v>
      </c>
      <c r="M7" s="1">
        <f>IF('2022'!B7="SI",'2022'!E7*PREMIOS!$F$17,0)</f>
        <v>0</v>
      </c>
      <c r="N7" s="1">
        <f>IFERROR(INDEX(PREMIOS!$B$18:$F$23,MATCH(C7,PREMIOS!$B$18:$B$23,0),5)*E7,0)</f>
        <v>0</v>
      </c>
      <c r="O7" s="1">
        <f>IFERROR(INDEX(PREMIOS!$B$24:$F$28,MATCH(LEFT(C7,3),PREMIOS!$B$24:$B$28,0),5)*E7,0)</f>
        <v>0</v>
      </c>
      <c r="P7" s="1">
        <f>IFERROR(INDEX(PREMIOS!$B$29:$F$31,MATCH(RIGHT(C7,2),PREMIOS!$B$29:$B$31,0),5)*E7,0)</f>
        <v>0</v>
      </c>
      <c r="Q7" s="1">
        <f>IFERROR(INDEX(PREMIOS!$B$32:$F$32,MATCH(RIGHT(C7,1),PREMIOS!$B$32:$B$32,0),5)*E7,0)</f>
        <v>0</v>
      </c>
      <c r="R7" s="59">
        <f t="shared" ref="R7:R44" si="2">SUM(G7:Q7)</f>
        <v>0</v>
      </c>
      <c r="S7">
        <f>IF(R7&gt;40000,((R7-40000)*20%),0)</f>
        <v>0</v>
      </c>
      <c r="T7">
        <f>R7-S7</f>
        <v>0</v>
      </c>
      <c r="U7" s="45">
        <v>1</v>
      </c>
      <c r="V7" s="46">
        <f t="shared" si="1"/>
        <v>24</v>
      </c>
      <c r="W7" s="42"/>
    </row>
    <row r="8" spans="2:31">
      <c r="B8" s="40" t="s">
        <v>89</v>
      </c>
      <c r="C8" s="47">
        <v>9544</v>
      </c>
      <c r="D8" s="9" t="s">
        <v>34</v>
      </c>
      <c r="E8" s="8">
        <v>21</v>
      </c>
      <c r="F8" s="1" t="str">
        <f t="shared" si="0"/>
        <v>4</v>
      </c>
      <c r="G8" s="1">
        <f>IF(C8=PREMIOS!$B$4,E8*PREMIOS!$F$4,0)</f>
        <v>0</v>
      </c>
      <c r="H8" s="1">
        <f>IF(C8=PREMIOS!$B$5,E8*PREMIOS!$F$5,0)</f>
        <v>0</v>
      </c>
      <c r="I8" s="1">
        <f>IF(C8=PREMIOS!$B$6,E8*PREMIOS!$F$6,0)</f>
        <v>0</v>
      </c>
      <c r="J8" s="1">
        <f>IF(C8=PREMIOS!$B$7,E8*PREMIOS!$F$7,0)</f>
        <v>0</v>
      </c>
      <c r="K8" s="1">
        <f>IF(C8=PREMIOS!$B$8,E8*PREMIOS!$F$8,0)</f>
        <v>0</v>
      </c>
      <c r="L8" s="1">
        <f>IF(COUNTIF(PREMIOS!$B$9:$B$16,'2022'!C8),'2022'!E8*PREMIOS!$F$9,0)</f>
        <v>0</v>
      </c>
      <c r="M8" s="1">
        <f>IF('2022'!B8="SI",'2022'!E8*PREMIOS!$F$17,0)</f>
        <v>0</v>
      </c>
      <c r="N8" s="1">
        <f>IFERROR(INDEX(PREMIOS!$B$18:$F$23,MATCH(C8,PREMIOS!$B$18:$B$23,0),5)*E8,0)</f>
        <v>0</v>
      </c>
      <c r="O8" s="1">
        <f>IFERROR(INDEX(PREMIOS!$B$24:$F$28,MATCH(LEFT(C8,3),PREMIOS!$B$24:$B$28,0),5)*E8,0)</f>
        <v>0</v>
      </c>
      <c r="P8" s="1">
        <f>IFERROR(INDEX(PREMIOS!$B$29:$F$31,MATCH(RIGHT(C8,2),PREMIOS!$B$29:$B$31,0),5)*E8,0)</f>
        <v>0</v>
      </c>
      <c r="Q8" s="1">
        <f>IFERROR(INDEX(PREMIOS!$B$32:$F$32,MATCH(RIGHT(C8,1),PREMIOS!$B$32:$B$32,0),5)*E8,0)</f>
        <v>0</v>
      </c>
      <c r="R8" s="59">
        <f t="shared" si="2"/>
        <v>0</v>
      </c>
      <c r="S8">
        <f t="shared" ref="S8:S44" si="3">IF(R8&gt;40000,((R8-40000)*20%),0)</f>
        <v>0</v>
      </c>
      <c r="T8">
        <f t="shared" ref="T8:T44" si="4">R8-S8</f>
        <v>0</v>
      </c>
      <c r="U8" s="45">
        <v>2</v>
      </c>
      <c r="V8" s="46">
        <f t="shared" si="1"/>
        <v>49</v>
      </c>
      <c r="W8" s="42"/>
    </row>
    <row r="9" spans="2:31">
      <c r="B9" s="40" t="s">
        <v>89</v>
      </c>
      <c r="C9" s="82">
        <v>9720</v>
      </c>
      <c r="D9" s="9" t="s">
        <v>19</v>
      </c>
      <c r="E9" s="8">
        <v>4</v>
      </c>
      <c r="F9" s="1" t="str">
        <f t="shared" si="0"/>
        <v>0</v>
      </c>
      <c r="G9" s="1">
        <f>IF(C9=PREMIOS!$B$4,E9*PREMIOS!$F$4,0)</f>
        <v>0</v>
      </c>
      <c r="H9" s="1">
        <f>IF(C9=PREMIOS!$B$5,E9*PREMIOS!$F$5,0)</f>
        <v>0</v>
      </c>
      <c r="I9" s="1">
        <f>IF(C9=PREMIOS!$B$6,E9*PREMIOS!$F$6,0)</f>
        <v>0</v>
      </c>
      <c r="J9" s="1">
        <f>IF(C9=PREMIOS!$B$7,E9*PREMIOS!$F$7,0)</f>
        <v>0</v>
      </c>
      <c r="K9" s="1">
        <f>IF(C9=PREMIOS!$B$8,E9*PREMIOS!$F$8,0)</f>
        <v>0</v>
      </c>
      <c r="L9" s="1">
        <f>IF(COUNTIF(PREMIOS!$B$9:$B$16,'2022'!C9),'2022'!E9*PREMIOS!$F$9,0)</f>
        <v>0</v>
      </c>
      <c r="M9" s="1">
        <f>IF('2022'!B9="SI",'2022'!E9*PREMIOS!$F$17,0)</f>
        <v>0</v>
      </c>
      <c r="N9" s="1">
        <f>IFERROR(INDEX(PREMIOS!$B$18:$F$23,MATCH(C9,PREMIOS!$B$18:$B$23,0),5)*E9,0)</f>
        <v>0</v>
      </c>
      <c r="O9" s="1">
        <f>IFERROR(INDEX(PREMIOS!$B$24:$F$28,MATCH(LEFT(C9,3),PREMIOS!$B$24:$B$28,0),5)*E9,0)</f>
        <v>0</v>
      </c>
      <c r="P9" s="1">
        <f>IFERROR(INDEX(PREMIOS!$B$29:$F$31,MATCH(RIGHT(C9,2),PREMIOS!$B$29:$B$31,0),5)*E9,0)</f>
        <v>0</v>
      </c>
      <c r="Q9" s="1">
        <f>IFERROR(INDEX(PREMIOS!$B$32:$F$32,MATCH(RIGHT(C9,1),PREMIOS!$B$32:$B$32,0),5)*E9,0)</f>
        <v>4</v>
      </c>
      <c r="R9" s="59">
        <f t="shared" si="2"/>
        <v>4</v>
      </c>
      <c r="S9">
        <f t="shared" si="3"/>
        <v>0</v>
      </c>
      <c r="T9">
        <f t="shared" si="4"/>
        <v>4</v>
      </c>
      <c r="U9" s="45">
        <v>3</v>
      </c>
      <c r="V9" s="46">
        <f t="shared" si="1"/>
        <v>40</v>
      </c>
      <c r="W9" s="42"/>
    </row>
    <row r="10" spans="2:31">
      <c r="B10" s="40" t="s">
        <v>89</v>
      </c>
      <c r="C10" s="47">
        <v>10117</v>
      </c>
      <c r="D10" s="9" t="s">
        <v>36</v>
      </c>
      <c r="E10" s="8">
        <v>4</v>
      </c>
      <c r="F10" s="1" t="str">
        <f t="shared" si="0"/>
        <v>7</v>
      </c>
      <c r="G10" s="1">
        <f>IF(C10=PREMIOS!$B$4,E10*PREMIOS!$F$4,0)</f>
        <v>0</v>
      </c>
      <c r="H10" s="1">
        <f>IF(C10=PREMIOS!$B$5,E10*PREMIOS!$F$5,0)</f>
        <v>0</v>
      </c>
      <c r="I10" s="1">
        <f>IF(C10=PREMIOS!$B$6,E10*PREMIOS!$F$6,0)</f>
        <v>0</v>
      </c>
      <c r="J10" s="1">
        <f>IF(C10=PREMIOS!$B$7,E10*PREMIOS!$F$7,0)</f>
        <v>0</v>
      </c>
      <c r="K10" s="1">
        <f>IF(C10=PREMIOS!$B$8,E10*PREMIOS!$F$8,0)</f>
        <v>0</v>
      </c>
      <c r="L10" s="1">
        <f>IF(COUNTIF(PREMIOS!$B$9:$B$16,'2022'!C10),'2022'!E10*PREMIOS!$F$9,0)</f>
        <v>0</v>
      </c>
      <c r="M10" s="1">
        <f>IF('2022'!B10="SI",'2022'!E10*PREMIOS!$F$17,0)</f>
        <v>0</v>
      </c>
      <c r="N10" s="1">
        <f>IFERROR(INDEX(PREMIOS!$B$18:$F$23,MATCH(C10,PREMIOS!$B$18:$B$23,0),5)*E10,0)</f>
        <v>0</v>
      </c>
      <c r="O10" s="1">
        <f>IFERROR(INDEX(PREMIOS!$B$24:$F$28,MATCH(LEFT(C10,3),PREMIOS!$B$24:$B$28,0),5)*E10,0)</f>
        <v>0</v>
      </c>
      <c r="P10" s="1">
        <f>IFERROR(INDEX(PREMIOS!$B$29:$F$31,MATCH(RIGHT(C10,2),PREMIOS!$B$29:$B$31,0),5)*E10,0)</f>
        <v>0</v>
      </c>
      <c r="Q10" s="1">
        <f>IFERROR(INDEX(PREMIOS!$B$32:$F$32,MATCH(RIGHT(C10,1),PREMIOS!$B$32:$B$32,0),5)*E10,0)</f>
        <v>0</v>
      </c>
      <c r="R10" s="59">
        <f t="shared" si="2"/>
        <v>0</v>
      </c>
      <c r="S10">
        <f t="shared" si="3"/>
        <v>0</v>
      </c>
      <c r="T10">
        <f t="shared" si="4"/>
        <v>0</v>
      </c>
      <c r="U10" s="45">
        <v>4</v>
      </c>
      <c r="V10" s="46">
        <f t="shared" si="1"/>
        <v>31</v>
      </c>
      <c r="W10" s="42"/>
    </row>
    <row r="11" spans="2:31">
      <c r="B11" s="40" t="s">
        <v>89</v>
      </c>
      <c r="C11" s="47">
        <v>15497</v>
      </c>
      <c r="D11" s="9" t="s">
        <v>17</v>
      </c>
      <c r="E11" s="8">
        <v>20</v>
      </c>
      <c r="F11" s="1" t="str">
        <f t="shared" si="0"/>
        <v>7</v>
      </c>
      <c r="G11" s="1">
        <f>IF(C11=PREMIOS!$B$4,E11*PREMIOS!$F$4,0)</f>
        <v>0</v>
      </c>
      <c r="H11" s="1">
        <f>IF(C11=PREMIOS!$B$5,E11*PREMIOS!$F$5,0)</f>
        <v>0</v>
      </c>
      <c r="I11" s="1">
        <f>IF(C11=PREMIOS!$B$6,E11*PREMIOS!$F$6,0)</f>
        <v>0</v>
      </c>
      <c r="J11" s="1">
        <f>IF(C11=PREMIOS!$B$7,E11*PREMIOS!$F$7,0)</f>
        <v>0</v>
      </c>
      <c r="K11" s="1">
        <f>IF(C11=PREMIOS!$B$8,E11*PREMIOS!$F$8,0)</f>
        <v>0</v>
      </c>
      <c r="L11" s="1">
        <f>IF(COUNTIF(PREMIOS!$B$9:$B$16,'2022'!C11),'2022'!E11*PREMIOS!$F$9,0)</f>
        <v>0</v>
      </c>
      <c r="M11" s="1">
        <f>IF('2022'!B11="SI",'2022'!E11*PREMIOS!$F$17,0)</f>
        <v>0</v>
      </c>
      <c r="N11" s="1">
        <f>IFERROR(INDEX(PREMIOS!$B$18:$F$23,MATCH(C11,PREMIOS!$B$18:$B$23,0),5)*E11,0)</f>
        <v>0</v>
      </c>
      <c r="O11" s="1">
        <f>IFERROR(INDEX(PREMIOS!$B$24:$F$28,MATCH(LEFT(C11,3),PREMIOS!$B$24:$B$28,0),5)*E11,0)</f>
        <v>0</v>
      </c>
      <c r="P11" s="1">
        <f>IFERROR(INDEX(PREMIOS!$B$29:$F$31,MATCH(RIGHT(C11,2),PREMIOS!$B$29:$B$31,0),5)*E11,0)</f>
        <v>0</v>
      </c>
      <c r="Q11" s="1">
        <f>IFERROR(INDEX(PREMIOS!$B$32:$F$32,MATCH(RIGHT(C11,1),PREMIOS!$B$32:$B$32,0),5)*E11,0)</f>
        <v>0</v>
      </c>
      <c r="R11" s="59">
        <f t="shared" si="2"/>
        <v>0</v>
      </c>
      <c r="S11">
        <f t="shared" si="3"/>
        <v>0</v>
      </c>
      <c r="T11">
        <f t="shared" si="4"/>
        <v>0</v>
      </c>
      <c r="U11" s="45">
        <v>5</v>
      </c>
      <c r="V11" s="46">
        <f t="shared" si="1"/>
        <v>25</v>
      </c>
      <c r="W11" s="42"/>
    </row>
    <row r="12" spans="2:31">
      <c r="B12" s="40" t="s">
        <v>89</v>
      </c>
      <c r="C12" s="47">
        <v>18458</v>
      </c>
      <c r="D12" s="9" t="s">
        <v>14</v>
      </c>
      <c r="E12" s="8">
        <v>80</v>
      </c>
      <c r="F12" s="1" t="str">
        <f t="shared" si="0"/>
        <v>8</v>
      </c>
      <c r="G12" s="1">
        <f>IF(C12=PREMIOS!$B$4,E12*PREMIOS!$F$4,0)</f>
        <v>0</v>
      </c>
      <c r="H12" s="1">
        <f>IF(C12=PREMIOS!$B$5,E12*PREMIOS!$F$5,0)</f>
        <v>0</v>
      </c>
      <c r="I12" s="1">
        <f>IF(C12=PREMIOS!$B$6,E12*PREMIOS!$F$6,0)</f>
        <v>0</v>
      </c>
      <c r="J12" s="1">
        <f>IF(C12=PREMIOS!$B$7,E12*PREMIOS!$F$7,0)</f>
        <v>0</v>
      </c>
      <c r="K12" s="1">
        <f>IF(C12=PREMIOS!$B$8,E12*PREMIOS!$F$8,0)</f>
        <v>0</v>
      </c>
      <c r="L12" s="1">
        <f>IF(COUNTIF(PREMIOS!$B$9:$B$16,'2022'!C12),'2022'!E12*PREMIOS!$F$9,0)</f>
        <v>0</v>
      </c>
      <c r="M12" s="1">
        <f>IF('2022'!B12="SI",'2022'!E12*PREMIOS!$F$17,0)</f>
        <v>0</v>
      </c>
      <c r="N12" s="1">
        <f>IFERROR(INDEX(PREMIOS!$B$18:$F$23,MATCH(C12,PREMIOS!$B$18:$B$23,0),5)*E12,0)</f>
        <v>0</v>
      </c>
      <c r="O12" s="1">
        <f>IFERROR(INDEX(PREMIOS!$B$24:$F$28,MATCH(LEFT(C12,3),PREMIOS!$B$24:$B$28,0),5)*E12,0)</f>
        <v>0</v>
      </c>
      <c r="P12" s="1">
        <f>IFERROR(INDEX(PREMIOS!$B$29:$F$31,MATCH(RIGHT(C12,2),PREMIOS!$B$29:$B$31,0),5)*E12,0)</f>
        <v>0</v>
      </c>
      <c r="Q12" s="1">
        <f>IFERROR(INDEX(PREMIOS!$B$32:$F$32,MATCH(RIGHT(C12,1),PREMIOS!$B$32:$B$32,0),5)*E12,0)</f>
        <v>0</v>
      </c>
      <c r="R12" s="59">
        <f t="shared" si="2"/>
        <v>0</v>
      </c>
      <c r="S12">
        <f t="shared" si="3"/>
        <v>0</v>
      </c>
      <c r="T12">
        <f t="shared" si="4"/>
        <v>0</v>
      </c>
      <c r="U12" s="45">
        <v>6</v>
      </c>
      <c r="V12" s="46">
        <f t="shared" si="1"/>
        <v>25</v>
      </c>
      <c r="W12" s="42"/>
    </row>
    <row r="13" spans="2:31">
      <c r="B13" s="40" t="s">
        <v>89</v>
      </c>
      <c r="C13" s="47">
        <v>20742</v>
      </c>
      <c r="D13" s="9" t="s">
        <v>87</v>
      </c>
      <c r="E13" s="8">
        <v>5</v>
      </c>
      <c r="F13" s="1" t="str">
        <f t="shared" si="0"/>
        <v>2</v>
      </c>
      <c r="G13" s="1">
        <f>IF(C13=PREMIOS!$B$4,E13*PREMIOS!$F$4,0)</f>
        <v>0</v>
      </c>
      <c r="H13" s="1">
        <f>IF(C13=PREMIOS!$B$5,E13*PREMIOS!$F$5,0)</f>
        <v>0</v>
      </c>
      <c r="I13" s="1">
        <f>IF(C13=PREMIOS!$B$6,E13*PREMIOS!$F$6,0)</f>
        <v>0</v>
      </c>
      <c r="J13" s="1">
        <f>IF(C13=PREMIOS!$B$7,E13*PREMIOS!$F$7,0)</f>
        <v>0</v>
      </c>
      <c r="K13" s="1">
        <f>IF(C13=PREMIOS!$B$8,E13*PREMIOS!$F$8,0)</f>
        <v>0</v>
      </c>
      <c r="L13" s="1">
        <f>IF(COUNTIF(PREMIOS!$B$9:$B$16,'2022'!C13),'2022'!E13*PREMIOS!$F$9,0)</f>
        <v>0</v>
      </c>
      <c r="M13" s="1">
        <f>IF('2022'!B13="SI",'2022'!E13*PREMIOS!$F$17,0)</f>
        <v>0</v>
      </c>
      <c r="N13" s="1">
        <f>IFERROR(INDEX(PREMIOS!$B$18:$F$23,MATCH(C13,PREMIOS!$B$18:$B$23,0),5)*E13,0)</f>
        <v>0</v>
      </c>
      <c r="O13" s="1">
        <f>IFERROR(INDEX(PREMIOS!$B$24:$F$28,MATCH(LEFT(C13,3),PREMIOS!$B$24:$B$28,0),5)*E13,0)</f>
        <v>0</v>
      </c>
      <c r="P13" s="1">
        <f>IFERROR(INDEX(PREMIOS!$B$29:$F$31,MATCH(RIGHT(C13,2),PREMIOS!$B$29:$B$31,0),5)*E13,0)</f>
        <v>0</v>
      </c>
      <c r="Q13" s="1">
        <f>IFERROR(INDEX(PREMIOS!$B$32:$F$32,MATCH(RIGHT(C13,1),PREMIOS!$B$32:$B$32,0),5)*E13,0)</f>
        <v>0</v>
      </c>
      <c r="R13" s="59">
        <f t="shared" si="2"/>
        <v>0</v>
      </c>
      <c r="S13">
        <f t="shared" si="3"/>
        <v>0</v>
      </c>
      <c r="T13">
        <f t="shared" si="4"/>
        <v>0</v>
      </c>
      <c r="U13" s="45">
        <v>7</v>
      </c>
      <c r="V13" s="46">
        <f t="shared" si="1"/>
        <v>70</v>
      </c>
      <c r="W13" s="42"/>
    </row>
    <row r="14" spans="2:31">
      <c r="B14" s="40" t="s">
        <v>89</v>
      </c>
      <c r="C14" s="47">
        <v>20867</v>
      </c>
      <c r="D14" s="9" t="s">
        <v>20</v>
      </c>
      <c r="E14" s="8">
        <f>20/5</f>
        <v>4</v>
      </c>
      <c r="F14" s="1" t="str">
        <f t="shared" si="0"/>
        <v>7</v>
      </c>
      <c r="G14" s="1">
        <f>IF(C14=PREMIOS!$B$4,E14*PREMIOS!$F$4,0)</f>
        <v>0</v>
      </c>
      <c r="H14" s="1">
        <f>IF(C14=PREMIOS!$B$5,E14*PREMIOS!$F$5,0)</f>
        <v>0</v>
      </c>
      <c r="I14" s="1">
        <f>IF(C14=PREMIOS!$B$6,E14*PREMIOS!$F$6,0)</f>
        <v>0</v>
      </c>
      <c r="J14" s="1">
        <f>IF(C14=PREMIOS!$B$7,E14*PREMIOS!$F$7,0)</f>
        <v>0</v>
      </c>
      <c r="K14" s="1">
        <f>IF(C14=PREMIOS!$B$8,E14*PREMIOS!$F$8,0)</f>
        <v>0</v>
      </c>
      <c r="L14" s="1">
        <f>IF(COUNTIF(PREMIOS!$B$9:$B$16,'2022'!C14),'2022'!E14*PREMIOS!$F$9,0)</f>
        <v>0</v>
      </c>
      <c r="M14" s="1">
        <f>IF('2022'!B14="SI",'2022'!E14*PREMIOS!$F$17,0)</f>
        <v>0</v>
      </c>
      <c r="N14" s="1">
        <f>IFERROR(INDEX(PREMIOS!$B$18:$F$23,MATCH(C14,PREMIOS!$B$18:$B$23,0),5)*E14,0)</f>
        <v>0</v>
      </c>
      <c r="O14" s="1">
        <f>IFERROR(INDEX(PREMIOS!$B$24:$F$28,MATCH(LEFT(C14,3),PREMIOS!$B$24:$B$28,0),5)*E14,0)</f>
        <v>0</v>
      </c>
      <c r="P14" s="1">
        <f>IFERROR(INDEX(PREMIOS!$B$29:$F$31,MATCH(RIGHT(C14,2),PREMIOS!$B$29:$B$31,0),5)*E14,0)</f>
        <v>0</v>
      </c>
      <c r="Q14" s="1">
        <f>IFERROR(INDEX(PREMIOS!$B$32:$F$32,MATCH(RIGHT(C14,1),PREMIOS!$B$32:$B$32,0),5)*E14,0)</f>
        <v>0</v>
      </c>
      <c r="R14" s="59">
        <f t="shared" si="2"/>
        <v>0</v>
      </c>
      <c r="S14">
        <f t="shared" si="3"/>
        <v>0</v>
      </c>
      <c r="T14">
        <f t="shared" si="4"/>
        <v>0</v>
      </c>
      <c r="U14" s="45">
        <v>8</v>
      </c>
      <c r="V14" s="46">
        <f t="shared" si="1"/>
        <v>86</v>
      </c>
      <c r="W14" s="42"/>
    </row>
    <row r="15" spans="2:31">
      <c r="B15" s="40" t="s">
        <v>89</v>
      </c>
      <c r="C15" s="47">
        <v>36203</v>
      </c>
      <c r="D15" s="9" t="s">
        <v>3</v>
      </c>
      <c r="E15" s="8">
        <v>20</v>
      </c>
      <c r="F15" s="1" t="str">
        <f t="shared" si="0"/>
        <v>3</v>
      </c>
      <c r="G15" s="1">
        <f>IF(C15=PREMIOS!$B$4,E15*PREMIOS!$F$4,0)</f>
        <v>0</v>
      </c>
      <c r="H15" s="1">
        <f>IF(C15=PREMIOS!$B$5,E15*PREMIOS!$F$5,0)</f>
        <v>0</v>
      </c>
      <c r="I15" s="1">
        <f>IF(C15=PREMIOS!$B$6,E15*PREMIOS!$F$6,0)</f>
        <v>0</v>
      </c>
      <c r="J15" s="1">
        <f>IF(C15=PREMIOS!$B$7,E15*PREMIOS!$F$7,0)</f>
        <v>0</v>
      </c>
      <c r="K15" s="1">
        <f>IF(C15=PREMIOS!$B$8,E15*PREMIOS!$F$8,0)</f>
        <v>0</v>
      </c>
      <c r="L15" s="1">
        <f>IF(COUNTIF(PREMIOS!$B$9:$B$16,'2022'!C15),'2022'!E15*PREMIOS!$F$9,0)</f>
        <v>0</v>
      </c>
      <c r="M15" s="1">
        <f>IF('2022'!B15="SI",'2022'!E15*PREMIOS!$F$17,0)</f>
        <v>0</v>
      </c>
      <c r="N15" s="1">
        <f>IFERROR(INDEX(PREMIOS!$B$18:$F$23,MATCH(C15,PREMIOS!$B$18:$B$23,0),5)*E15,0)</f>
        <v>0</v>
      </c>
      <c r="O15" s="1">
        <f>IFERROR(INDEX(PREMIOS!$B$24:$F$28,MATCH(LEFT(C15,3),PREMIOS!$B$24:$B$28,0),5)*E15,0)</f>
        <v>0</v>
      </c>
      <c r="P15" s="1">
        <f>IFERROR(INDEX(PREMIOS!$B$29:$F$31,MATCH(RIGHT(C15,2),PREMIOS!$B$29:$B$31,0),5)*E15,0)</f>
        <v>0</v>
      </c>
      <c r="Q15" s="1">
        <f>IFERROR(INDEX(PREMIOS!$B$32:$F$32,MATCH(RIGHT(C15,1),PREMIOS!$B$32:$B$32,0),5)*E15,0)</f>
        <v>0</v>
      </c>
      <c r="R15" s="59">
        <f t="shared" si="2"/>
        <v>0</v>
      </c>
      <c r="S15">
        <f t="shared" si="3"/>
        <v>0</v>
      </c>
      <c r="T15">
        <f t="shared" si="4"/>
        <v>0</v>
      </c>
      <c r="U15" s="45">
        <v>9</v>
      </c>
      <c r="V15" s="46">
        <f t="shared" si="1"/>
        <v>20</v>
      </c>
      <c r="W15" s="42"/>
    </row>
    <row r="16" spans="2:31">
      <c r="B16" s="40" t="s">
        <v>89</v>
      </c>
      <c r="C16" s="47">
        <v>41082</v>
      </c>
      <c r="D16" s="9" t="s">
        <v>38</v>
      </c>
      <c r="E16" s="8">
        <v>20</v>
      </c>
      <c r="F16" s="1" t="str">
        <f t="shared" si="0"/>
        <v>2</v>
      </c>
      <c r="G16" s="1">
        <f>IF(C16=PREMIOS!$B$4,E16*PREMIOS!$F$4,0)</f>
        <v>0</v>
      </c>
      <c r="H16" s="1">
        <f>IF(C16=PREMIOS!$B$5,E16*PREMIOS!$F$5,0)</f>
        <v>0</v>
      </c>
      <c r="I16" s="1">
        <f>IF(C16=PREMIOS!$B$6,E16*PREMIOS!$F$6,0)</f>
        <v>0</v>
      </c>
      <c r="J16" s="1">
        <f>IF(C16=PREMIOS!$B$7,E16*PREMIOS!$F$7,0)</f>
        <v>0</v>
      </c>
      <c r="K16" s="1">
        <f>IF(C16=PREMIOS!$B$8,E16*PREMIOS!$F$8,0)</f>
        <v>0</v>
      </c>
      <c r="L16" s="1">
        <f>IF(COUNTIF(PREMIOS!$B$9:$B$16,'2022'!C16),'2022'!E16*PREMIOS!$F$9,0)</f>
        <v>0</v>
      </c>
      <c r="M16" s="1">
        <f>IF('2022'!B16="SI",'2022'!E16*PREMIOS!$F$17,0)</f>
        <v>0</v>
      </c>
      <c r="N16" s="1">
        <f>IFERROR(INDEX(PREMIOS!$B$18:$F$23,MATCH(C16,PREMIOS!$B$18:$B$23,0),5)*E16,0)</f>
        <v>0</v>
      </c>
      <c r="O16" s="1">
        <f>IFERROR(INDEX(PREMIOS!$B$24:$F$28,MATCH(LEFT(C16,3),PREMIOS!$B$24:$B$28,0),5)*E16,0)</f>
        <v>0</v>
      </c>
      <c r="P16" s="1">
        <f>IFERROR(INDEX(PREMIOS!$B$29:$F$31,MATCH(RIGHT(C16,2),PREMIOS!$B$29:$B$31,0),5)*E16,0)</f>
        <v>0</v>
      </c>
      <c r="Q16" s="1">
        <f>IFERROR(INDEX(PREMIOS!$B$32:$F$32,MATCH(RIGHT(C16,1),PREMIOS!$B$32:$B$32,0),5)*E16,0)</f>
        <v>0</v>
      </c>
      <c r="R16" s="59">
        <f t="shared" si="2"/>
        <v>0</v>
      </c>
      <c r="S16">
        <f t="shared" si="3"/>
        <v>0</v>
      </c>
      <c r="T16">
        <f t="shared" si="4"/>
        <v>0</v>
      </c>
    </row>
    <row r="17" spans="2:20">
      <c r="B17" s="40" t="s">
        <v>89</v>
      </c>
      <c r="C17" s="47">
        <v>41082</v>
      </c>
      <c r="D17" s="9" t="s">
        <v>39</v>
      </c>
      <c r="E17" s="8">
        <v>20</v>
      </c>
      <c r="F17" s="1" t="str">
        <f t="shared" si="0"/>
        <v>2</v>
      </c>
      <c r="G17" s="1">
        <f>IF(C17=PREMIOS!$B$4,E17*PREMIOS!$F$4,0)</f>
        <v>0</v>
      </c>
      <c r="H17" s="1">
        <f>IF(C17=PREMIOS!$B$5,E17*PREMIOS!$F$5,0)</f>
        <v>0</v>
      </c>
      <c r="I17" s="1">
        <f>IF(C17=PREMIOS!$B$6,E17*PREMIOS!$F$6,0)</f>
        <v>0</v>
      </c>
      <c r="J17" s="1">
        <f>IF(C17=PREMIOS!$B$7,E17*PREMIOS!$F$7,0)</f>
        <v>0</v>
      </c>
      <c r="K17" s="1">
        <f>IF(C17=PREMIOS!$B$8,E17*PREMIOS!$F$8,0)</f>
        <v>0</v>
      </c>
      <c r="L17" s="1">
        <f>IF(COUNTIF(PREMIOS!$B$9:$B$16,'2022'!C17),'2022'!E17*PREMIOS!$F$9,0)</f>
        <v>0</v>
      </c>
      <c r="M17" s="1">
        <f>IF('2022'!B17="SI",'2022'!E17*PREMIOS!$F$17,0)</f>
        <v>0</v>
      </c>
      <c r="N17" s="1">
        <f>IFERROR(INDEX(PREMIOS!$B$18:$F$23,MATCH(C17,PREMIOS!$B$18:$B$23,0),5)*E17,0)</f>
        <v>0</v>
      </c>
      <c r="O17" s="1">
        <f>IFERROR(INDEX(PREMIOS!$B$24:$F$28,MATCH(LEFT(C17,3),PREMIOS!$B$24:$B$28,0),5)*E17,0)</f>
        <v>0</v>
      </c>
      <c r="P17" s="1">
        <f>IFERROR(INDEX(PREMIOS!$B$29:$F$31,MATCH(RIGHT(C17,2),PREMIOS!$B$29:$B$31,0),5)*E17,0)</f>
        <v>0</v>
      </c>
      <c r="Q17" s="1">
        <f>IFERROR(INDEX(PREMIOS!$B$32:$F$32,MATCH(RIGHT(C17,1),PREMIOS!$B$32:$B$32,0),5)*E17,0)</f>
        <v>0</v>
      </c>
      <c r="R17" s="59">
        <f t="shared" si="2"/>
        <v>0</v>
      </c>
      <c r="S17">
        <f t="shared" si="3"/>
        <v>0</v>
      </c>
      <c r="T17">
        <f t="shared" si="4"/>
        <v>0</v>
      </c>
    </row>
    <row r="18" spans="2:20">
      <c r="B18" s="40" t="s">
        <v>89</v>
      </c>
      <c r="C18" s="47">
        <v>41445</v>
      </c>
      <c r="D18" s="9" t="s">
        <v>31</v>
      </c>
      <c r="E18" s="8">
        <v>20</v>
      </c>
      <c r="F18" s="1" t="str">
        <f t="shared" si="0"/>
        <v>5</v>
      </c>
      <c r="G18" s="1">
        <f>IF(C18=PREMIOS!$B$4,E18*PREMIOS!$F$4,0)</f>
        <v>0</v>
      </c>
      <c r="H18" s="1">
        <f>IF(C18=PREMIOS!$B$5,E18*PREMIOS!$F$5,0)</f>
        <v>0</v>
      </c>
      <c r="I18" s="1">
        <f>IF(C18=PREMIOS!$B$6,E18*PREMIOS!$F$6,0)</f>
        <v>0</v>
      </c>
      <c r="J18" s="1">
        <f>IF(C18=PREMIOS!$B$7,E18*PREMIOS!$F$7,0)</f>
        <v>0</v>
      </c>
      <c r="K18" s="1">
        <f>IF(C18=PREMIOS!$B$8,E18*PREMIOS!$F$8,0)</f>
        <v>0</v>
      </c>
      <c r="L18" s="1">
        <f>IF(COUNTIF(PREMIOS!$B$9:$B$16,'2022'!C18),'2022'!E18*PREMIOS!$F$9,0)</f>
        <v>0</v>
      </c>
      <c r="M18" s="1">
        <f>IF('2022'!B18="SI",'2022'!E18*PREMIOS!$F$17,0)</f>
        <v>0</v>
      </c>
      <c r="N18" s="1">
        <f>IFERROR(INDEX(PREMIOS!$B$18:$F$23,MATCH(C18,PREMIOS!$B$18:$B$23,0),5)*E18,0)</f>
        <v>0</v>
      </c>
      <c r="O18" s="1">
        <f>IFERROR(INDEX(PREMIOS!$B$24:$F$28,MATCH(LEFT(C18,3),PREMIOS!$B$24:$B$28,0),5)*E18,0)</f>
        <v>0</v>
      </c>
      <c r="P18" s="1">
        <f>IFERROR(INDEX(PREMIOS!$B$29:$F$31,MATCH(RIGHT(C18,2),PREMIOS!$B$29:$B$31,0),5)*E18,0)</f>
        <v>0</v>
      </c>
      <c r="Q18" s="1">
        <f>IFERROR(INDEX(PREMIOS!$B$32:$F$32,MATCH(RIGHT(C18,1),PREMIOS!$B$32:$B$32,0),5)*E18,0)</f>
        <v>0</v>
      </c>
      <c r="R18" s="59">
        <f t="shared" si="2"/>
        <v>0</v>
      </c>
      <c r="S18">
        <f t="shared" si="3"/>
        <v>0</v>
      </c>
      <c r="T18">
        <f t="shared" si="4"/>
        <v>0</v>
      </c>
    </row>
    <row r="19" spans="2:20">
      <c r="B19" s="40" t="s">
        <v>89</v>
      </c>
      <c r="C19" s="47">
        <v>45678</v>
      </c>
      <c r="D19" s="9" t="s">
        <v>88</v>
      </c>
      <c r="E19" s="8">
        <v>4</v>
      </c>
      <c r="F19" s="1" t="str">
        <f t="shared" si="0"/>
        <v>8</v>
      </c>
      <c r="G19" s="1">
        <f>IF(C19=PREMIOS!$B$4,E19*PREMIOS!$F$4,0)</f>
        <v>0</v>
      </c>
      <c r="H19" s="1">
        <f>IF(C19=PREMIOS!$B$5,E19*PREMIOS!$F$5,0)</f>
        <v>0</v>
      </c>
      <c r="I19" s="1">
        <f>IF(C19=PREMIOS!$B$6,E19*PREMIOS!$F$6,0)</f>
        <v>0</v>
      </c>
      <c r="J19" s="1">
        <f>IF(C19=PREMIOS!$B$7,E19*PREMIOS!$F$7,0)</f>
        <v>0</v>
      </c>
      <c r="K19" s="1">
        <f>IF(C19=PREMIOS!$B$8,E19*PREMIOS!$F$8,0)</f>
        <v>0</v>
      </c>
      <c r="L19" s="1">
        <f>IF(COUNTIF(PREMIOS!$B$9:$B$16,'2022'!C19),'2022'!E19*PREMIOS!$F$9,0)</f>
        <v>0</v>
      </c>
      <c r="M19" s="1">
        <f>IF('2022'!B19="SI",'2022'!E19*PREMIOS!$F$17,0)</f>
        <v>0</v>
      </c>
      <c r="N19" s="1">
        <f>IFERROR(INDEX(PREMIOS!$B$18:$F$23,MATCH(C19,PREMIOS!$B$18:$B$23,0),5)*E19,0)</f>
        <v>0</v>
      </c>
      <c r="O19" s="1">
        <f>IFERROR(INDEX(PREMIOS!$B$24:$F$28,MATCH(LEFT(C19,3),PREMIOS!$B$24:$B$28,0),5)*E19,0)</f>
        <v>0</v>
      </c>
      <c r="P19" s="1">
        <f>IFERROR(INDEX(PREMIOS!$B$29:$F$31,MATCH(RIGHT(C19,2),PREMIOS!$B$29:$B$31,0),5)*E19,0)</f>
        <v>0</v>
      </c>
      <c r="Q19" s="1">
        <f>IFERROR(INDEX(PREMIOS!$B$32:$F$32,MATCH(RIGHT(C19,1),PREMIOS!$B$32:$B$32,0),5)*E19,0)</f>
        <v>0</v>
      </c>
      <c r="R19" s="59">
        <f t="shared" si="2"/>
        <v>0</v>
      </c>
      <c r="S19">
        <f t="shared" si="3"/>
        <v>0</v>
      </c>
      <c r="T19">
        <f t="shared" si="4"/>
        <v>0</v>
      </c>
    </row>
    <row r="20" spans="2:20">
      <c r="B20" s="40" t="s">
        <v>89</v>
      </c>
      <c r="C20" s="47">
        <v>53747</v>
      </c>
      <c r="D20" s="9" t="s">
        <v>28</v>
      </c>
      <c r="E20" s="8">
        <v>20</v>
      </c>
      <c r="F20" s="1" t="str">
        <f t="shared" si="0"/>
        <v>7</v>
      </c>
      <c r="G20" s="1">
        <f>IF(C20=PREMIOS!$B$4,E20*PREMIOS!$F$4,0)</f>
        <v>0</v>
      </c>
      <c r="H20" s="1">
        <f>IF(C20=PREMIOS!$B$5,E20*PREMIOS!$F$5,0)</f>
        <v>0</v>
      </c>
      <c r="I20" s="1">
        <f>IF(C20=PREMIOS!$B$6,E20*PREMIOS!$F$6,0)</f>
        <v>0</v>
      </c>
      <c r="J20" s="1">
        <f>IF(C20=PREMIOS!$B$7,E20*PREMIOS!$F$7,0)</f>
        <v>0</v>
      </c>
      <c r="K20" s="1">
        <f>IF(C20=PREMIOS!$B$8,E20*PREMIOS!$F$8,0)</f>
        <v>0</v>
      </c>
      <c r="L20" s="1">
        <f>IF(COUNTIF(PREMIOS!$B$9:$B$16,'2022'!C20),'2022'!E20*PREMIOS!$F$9,0)</f>
        <v>0</v>
      </c>
      <c r="M20" s="1">
        <f>IF('2022'!B20="SI",'2022'!E20*PREMIOS!$F$17,0)</f>
        <v>0</v>
      </c>
      <c r="N20" s="1">
        <f>IFERROR(INDEX(PREMIOS!$B$18:$F$23,MATCH(C20,PREMIOS!$B$18:$B$23,0),5)*E20,0)</f>
        <v>0</v>
      </c>
      <c r="O20" s="1">
        <f>IFERROR(INDEX(PREMIOS!$B$24:$F$28,MATCH(LEFT(C20,3),PREMIOS!$B$24:$B$28,0),5)*E20,0)</f>
        <v>0</v>
      </c>
      <c r="P20" s="1">
        <f>IFERROR(INDEX(PREMIOS!$B$29:$F$31,MATCH(RIGHT(C20,2),PREMIOS!$B$29:$B$31,0),5)*E20,0)</f>
        <v>0</v>
      </c>
      <c r="Q20" s="1">
        <f>IFERROR(INDEX(PREMIOS!$B$32:$F$32,MATCH(RIGHT(C20,1),PREMIOS!$B$32:$B$32,0),5)*E20,0)</f>
        <v>0</v>
      </c>
      <c r="R20" s="59">
        <f t="shared" si="2"/>
        <v>0</v>
      </c>
      <c r="S20">
        <f t="shared" si="3"/>
        <v>0</v>
      </c>
      <c r="T20">
        <f t="shared" si="4"/>
        <v>0</v>
      </c>
    </row>
    <row r="21" spans="2:20">
      <c r="B21" s="40" t="s">
        <v>89</v>
      </c>
      <c r="C21" s="47">
        <v>55701</v>
      </c>
      <c r="D21" s="9" t="s">
        <v>6</v>
      </c>
      <c r="E21" s="8">
        <v>4</v>
      </c>
      <c r="F21" s="1" t="str">
        <f t="shared" si="0"/>
        <v>1</v>
      </c>
      <c r="G21" s="1">
        <f>IF(C21=PREMIOS!$B$4,E21*PREMIOS!$F$4,0)</f>
        <v>0</v>
      </c>
      <c r="H21" s="1">
        <f>IF(C21=PREMIOS!$B$5,E21*PREMIOS!$F$5,0)</f>
        <v>0</v>
      </c>
      <c r="I21" s="1">
        <f>IF(C21=PREMIOS!$B$6,E21*PREMIOS!$F$6,0)</f>
        <v>0</v>
      </c>
      <c r="J21" s="1">
        <f>IF(C21=PREMIOS!$B$7,E21*PREMIOS!$F$7,0)</f>
        <v>0</v>
      </c>
      <c r="K21" s="1">
        <f>IF(C21=PREMIOS!$B$8,E21*PREMIOS!$F$8,0)</f>
        <v>0</v>
      </c>
      <c r="L21" s="1">
        <f>IF(COUNTIF(PREMIOS!$B$9:$B$16,'2022'!C21),'2022'!E21*PREMIOS!$F$9,0)</f>
        <v>0</v>
      </c>
      <c r="M21" s="1">
        <f>IF('2022'!B21="SI",'2022'!E21*PREMIOS!$F$17,0)</f>
        <v>0</v>
      </c>
      <c r="N21" s="1">
        <f>IFERROR(INDEX(PREMIOS!$B$18:$F$23,MATCH(C21,PREMIOS!$B$18:$B$23,0),5)*E21,0)</f>
        <v>0</v>
      </c>
      <c r="O21" s="1">
        <f>IFERROR(INDEX(PREMIOS!$B$24:$F$28,MATCH(LEFT(C21,3),PREMIOS!$B$24:$B$28,0),5)*E21,0)</f>
        <v>0</v>
      </c>
      <c r="P21" s="1">
        <f>IFERROR(INDEX(PREMIOS!$B$29:$F$31,MATCH(RIGHT(C21,2),PREMIOS!$B$29:$B$31,0),5)*E21,0)</f>
        <v>0</v>
      </c>
      <c r="Q21" s="1">
        <f>IFERROR(INDEX(PREMIOS!$B$32:$F$32,MATCH(RIGHT(C21,1),PREMIOS!$B$32:$B$32,0),5)*E21,0)</f>
        <v>0</v>
      </c>
      <c r="R21" s="59">
        <f t="shared" si="2"/>
        <v>0</v>
      </c>
      <c r="S21">
        <f t="shared" si="3"/>
        <v>0</v>
      </c>
      <c r="T21">
        <f t="shared" si="4"/>
        <v>0</v>
      </c>
    </row>
    <row r="22" spans="2:20">
      <c r="B22" s="40" t="s">
        <v>89</v>
      </c>
      <c r="C22" s="47">
        <v>55917</v>
      </c>
      <c r="D22" s="9" t="s">
        <v>12</v>
      </c>
      <c r="E22" s="8">
        <v>20</v>
      </c>
      <c r="F22" s="1" t="str">
        <f t="shared" si="0"/>
        <v>7</v>
      </c>
      <c r="G22" s="1">
        <f>IF(C22=PREMIOS!$B$4,E22*PREMIOS!$F$4,0)</f>
        <v>0</v>
      </c>
      <c r="H22" s="1">
        <f>IF(C22=PREMIOS!$B$5,E22*PREMIOS!$F$5,0)</f>
        <v>0</v>
      </c>
      <c r="I22" s="1">
        <f>IF(C22=PREMIOS!$B$6,E22*PREMIOS!$F$6,0)</f>
        <v>0</v>
      </c>
      <c r="J22" s="1">
        <f>IF(C22=PREMIOS!$B$7,E22*PREMIOS!$F$7,0)</f>
        <v>0</v>
      </c>
      <c r="K22" s="1">
        <f>IF(C22=PREMIOS!$B$8,E22*PREMIOS!$F$8,0)</f>
        <v>0</v>
      </c>
      <c r="L22" s="1">
        <f>IF(COUNTIF(PREMIOS!$B$9:$B$16,'2022'!C22),'2022'!E22*PREMIOS!$F$9,0)</f>
        <v>0</v>
      </c>
      <c r="M22" s="1">
        <f>IF('2022'!B22="SI",'2022'!E22*PREMIOS!$F$17,0)</f>
        <v>0</v>
      </c>
      <c r="N22" s="1">
        <f>IFERROR(INDEX(PREMIOS!$B$18:$F$23,MATCH(C22,PREMIOS!$B$18:$B$23,0),5)*E22,0)</f>
        <v>0</v>
      </c>
      <c r="O22" s="1">
        <f>IFERROR(INDEX(PREMIOS!$B$24:$F$28,MATCH(LEFT(C22,3),PREMIOS!$B$24:$B$28,0),5)*E22,0)</f>
        <v>0</v>
      </c>
      <c r="P22" s="1">
        <f>IFERROR(INDEX(PREMIOS!$B$29:$F$31,MATCH(RIGHT(C22,2),PREMIOS!$B$29:$B$31,0),5)*E22,0)</f>
        <v>0</v>
      </c>
      <c r="Q22" s="1">
        <f>IFERROR(INDEX(PREMIOS!$B$32:$F$32,MATCH(RIGHT(C22,1),PREMIOS!$B$32:$B$32,0),5)*E22,0)</f>
        <v>0</v>
      </c>
      <c r="R22" s="59">
        <f t="shared" si="2"/>
        <v>0</v>
      </c>
      <c r="S22">
        <f t="shared" si="3"/>
        <v>0</v>
      </c>
      <c r="T22">
        <f t="shared" si="4"/>
        <v>0</v>
      </c>
    </row>
    <row r="23" spans="2:20">
      <c r="B23" s="40" t="s">
        <v>89</v>
      </c>
      <c r="C23" s="47">
        <v>58374</v>
      </c>
      <c r="D23" s="9" t="s">
        <v>33</v>
      </c>
      <c r="E23" s="8">
        <v>10</v>
      </c>
      <c r="F23" s="1" t="str">
        <f t="shared" si="0"/>
        <v>4</v>
      </c>
      <c r="G23" s="1">
        <f>IF(C23=PREMIOS!$B$4,E23*PREMIOS!$F$4,0)</f>
        <v>0</v>
      </c>
      <c r="H23" s="1">
        <f>IF(C23=PREMIOS!$B$5,E23*PREMIOS!$F$5,0)</f>
        <v>0</v>
      </c>
      <c r="I23" s="1">
        <f>IF(C23=PREMIOS!$B$6,E23*PREMIOS!$F$6,0)</f>
        <v>0</v>
      </c>
      <c r="J23" s="1">
        <f>IF(C23=PREMIOS!$B$7,E23*PREMIOS!$F$7,0)</f>
        <v>0</v>
      </c>
      <c r="K23" s="1">
        <f>IF(C23=PREMIOS!$B$8,E23*PREMIOS!$F$8,0)</f>
        <v>0</v>
      </c>
      <c r="L23" s="1">
        <f>IF(COUNTIF(PREMIOS!$B$9:$B$16,'2022'!C23),'2022'!E23*PREMIOS!$F$9,0)</f>
        <v>0</v>
      </c>
      <c r="M23" s="1">
        <f>IF('2022'!B23="SI",'2022'!E23*PREMIOS!$F$17,0)</f>
        <v>0</v>
      </c>
      <c r="N23" s="1">
        <f>IFERROR(INDEX(PREMIOS!$B$18:$F$23,MATCH(C23,PREMIOS!$B$18:$B$23,0),5)*E23,0)</f>
        <v>0</v>
      </c>
      <c r="O23" s="1">
        <f>IFERROR(INDEX(PREMIOS!$B$24:$F$28,MATCH(LEFT(C23,3),PREMIOS!$B$24:$B$28,0),5)*E23,0)</f>
        <v>0</v>
      </c>
      <c r="P23" s="1">
        <f>IFERROR(INDEX(PREMIOS!$B$29:$F$31,MATCH(RIGHT(C23,2),PREMIOS!$B$29:$B$31,0),5)*E23,0)</f>
        <v>50</v>
      </c>
      <c r="Q23" s="1">
        <f>IFERROR(INDEX(PREMIOS!$B$32:$F$32,MATCH(RIGHT(C23,1),PREMIOS!$B$32:$B$32,0),5)*E23,0)</f>
        <v>0</v>
      </c>
      <c r="R23" s="59">
        <f t="shared" si="2"/>
        <v>50</v>
      </c>
      <c r="S23">
        <f t="shared" si="3"/>
        <v>0</v>
      </c>
      <c r="T23">
        <f t="shared" si="4"/>
        <v>50</v>
      </c>
    </row>
    <row r="24" spans="2:20">
      <c r="B24" s="40" t="s">
        <v>89</v>
      </c>
      <c r="C24" s="47">
        <v>70579</v>
      </c>
      <c r="D24" s="9" t="s">
        <v>29</v>
      </c>
      <c r="E24" s="8">
        <v>20</v>
      </c>
      <c r="F24" s="1" t="str">
        <f t="shared" si="0"/>
        <v>9</v>
      </c>
      <c r="G24" s="1">
        <f>IF(C24=PREMIOS!$B$4,E24*PREMIOS!$F$4,0)</f>
        <v>0</v>
      </c>
      <c r="H24" s="1">
        <f>IF(C24=PREMIOS!$B$5,E24*PREMIOS!$F$5,0)</f>
        <v>0</v>
      </c>
      <c r="I24" s="1">
        <f>IF(C24=PREMIOS!$B$6,E24*PREMIOS!$F$6,0)</f>
        <v>0</v>
      </c>
      <c r="J24" s="1">
        <f>IF(C24=PREMIOS!$B$7,E24*PREMIOS!$F$7,0)</f>
        <v>0</v>
      </c>
      <c r="K24" s="1">
        <f>IF(C24=PREMIOS!$B$8,E24*PREMIOS!$F$8,0)</f>
        <v>0</v>
      </c>
      <c r="L24" s="1">
        <f>IF(COUNTIF(PREMIOS!$B$9:$B$16,'2022'!C24),'2022'!E24*PREMIOS!$F$9,0)</f>
        <v>0</v>
      </c>
      <c r="M24" s="1">
        <f>IF('2022'!B24="SI",'2022'!E24*PREMIOS!$F$17,0)</f>
        <v>0</v>
      </c>
      <c r="N24" s="1">
        <f>IFERROR(INDEX(PREMIOS!$B$18:$F$23,MATCH(C24,PREMIOS!$B$18:$B$23,0),5)*E24,0)</f>
        <v>0</v>
      </c>
      <c r="O24" s="1">
        <f>IFERROR(INDEX(PREMIOS!$B$24:$F$28,MATCH(LEFT(C24,3),PREMIOS!$B$24:$B$28,0),5)*E24,0)</f>
        <v>0</v>
      </c>
      <c r="P24" s="1">
        <f>IFERROR(INDEX(PREMIOS!$B$29:$F$31,MATCH(RIGHT(C24,2),PREMIOS!$B$29:$B$31,0),5)*E24,0)</f>
        <v>0</v>
      </c>
      <c r="Q24" s="1">
        <f>IFERROR(INDEX(PREMIOS!$B$32:$F$32,MATCH(RIGHT(C24,1),PREMIOS!$B$32:$B$32,0),5)*E24,0)</f>
        <v>0</v>
      </c>
      <c r="R24" s="59">
        <f t="shared" si="2"/>
        <v>0</v>
      </c>
      <c r="S24">
        <f t="shared" si="3"/>
        <v>0</v>
      </c>
      <c r="T24">
        <f t="shared" si="4"/>
        <v>0</v>
      </c>
    </row>
    <row r="25" spans="2:20">
      <c r="B25" s="40" t="s">
        <v>89</v>
      </c>
      <c r="C25" s="47">
        <v>78956</v>
      </c>
      <c r="D25" s="9" t="s">
        <v>29</v>
      </c>
      <c r="E25" s="8">
        <v>20</v>
      </c>
      <c r="F25" s="1" t="str">
        <f t="shared" si="0"/>
        <v>6</v>
      </c>
      <c r="G25" s="1">
        <f>IF(C25=PREMIOS!$B$4,E25*PREMIOS!$F$4,0)</f>
        <v>0</v>
      </c>
      <c r="H25" s="1">
        <f>IF(C25=PREMIOS!$B$5,E25*PREMIOS!$F$5,0)</f>
        <v>0</v>
      </c>
      <c r="I25" s="1">
        <f>IF(C25=PREMIOS!$B$6,E25*PREMIOS!$F$6,0)</f>
        <v>0</v>
      </c>
      <c r="J25" s="1">
        <f>IF(C25=PREMIOS!$B$7,E25*PREMIOS!$F$7,0)</f>
        <v>0</v>
      </c>
      <c r="K25" s="1">
        <f>IF(C25=PREMIOS!$B$8,E25*PREMIOS!$F$8,0)</f>
        <v>0</v>
      </c>
      <c r="L25" s="1">
        <f>IF(COUNTIF(PREMIOS!$B$9:$B$16,'2022'!C25),'2022'!E25*PREMIOS!$F$9,0)</f>
        <v>0</v>
      </c>
      <c r="M25" s="1">
        <f>IF('2022'!B25="SI",'2022'!E25*PREMIOS!$F$17,0)</f>
        <v>0</v>
      </c>
      <c r="N25" s="1">
        <f>IFERROR(INDEX(PREMIOS!$B$18:$F$23,MATCH(C25,PREMIOS!$B$18:$B$23,0),5)*E25,0)</f>
        <v>0</v>
      </c>
      <c r="O25" s="1">
        <f>IFERROR(INDEX(PREMIOS!$B$24:$F$28,MATCH(LEFT(C25,3),PREMIOS!$B$24:$B$28,0),5)*E25,0)</f>
        <v>0</v>
      </c>
      <c r="P25" s="1">
        <f>IFERROR(INDEX(PREMIOS!$B$29:$F$31,MATCH(RIGHT(C25,2),PREMIOS!$B$29:$B$31,0),5)*E25,0)</f>
        <v>0</v>
      </c>
      <c r="Q25" s="1">
        <f>IFERROR(INDEX(PREMIOS!$B$32:$F$32,MATCH(RIGHT(C25,1),PREMIOS!$B$32:$B$32,0),5)*E25,0)</f>
        <v>0</v>
      </c>
      <c r="R25" s="59">
        <f t="shared" si="2"/>
        <v>0</v>
      </c>
      <c r="S25">
        <f t="shared" si="3"/>
        <v>0</v>
      </c>
      <c r="T25">
        <f t="shared" si="4"/>
        <v>0</v>
      </c>
    </row>
    <row r="26" spans="2:20">
      <c r="B26" s="40" t="s">
        <v>89</v>
      </c>
      <c r="C26" s="47">
        <v>79327</v>
      </c>
      <c r="D26" s="9" t="s">
        <v>35</v>
      </c>
      <c r="E26" s="8">
        <v>2</v>
      </c>
      <c r="F26" s="1" t="str">
        <f t="shared" si="0"/>
        <v>7</v>
      </c>
      <c r="G26" s="1">
        <f>IF(C26=PREMIOS!$B$4,E26*PREMIOS!$F$4,0)</f>
        <v>0</v>
      </c>
      <c r="H26" s="1">
        <f>IF(C26=PREMIOS!$B$5,E26*PREMIOS!$F$5,0)</f>
        <v>0</v>
      </c>
      <c r="I26" s="1">
        <f>IF(C26=PREMIOS!$B$6,E26*PREMIOS!$F$6,0)</f>
        <v>0</v>
      </c>
      <c r="J26" s="1">
        <f>IF(C26=PREMIOS!$B$7,E26*PREMIOS!$F$7,0)</f>
        <v>0</v>
      </c>
      <c r="K26" s="1">
        <f>IF(C26=PREMIOS!$B$8,E26*PREMIOS!$F$8,0)</f>
        <v>0</v>
      </c>
      <c r="L26" s="1">
        <f>IF(COUNTIF(PREMIOS!$B$9:$B$16,'2022'!C26),'2022'!E26*PREMIOS!$F$9,0)</f>
        <v>0</v>
      </c>
      <c r="M26" s="1">
        <f>IF('2022'!B26="SI",'2022'!E26*PREMIOS!$F$17,0)</f>
        <v>0</v>
      </c>
      <c r="N26" s="1">
        <f>IFERROR(INDEX(PREMIOS!$B$18:$F$23,MATCH(C26,PREMIOS!$B$18:$B$23,0),5)*E26,0)</f>
        <v>0</v>
      </c>
      <c r="O26" s="1">
        <f>IFERROR(INDEX(PREMIOS!$B$24:$F$28,MATCH(LEFT(C26,3),PREMIOS!$B$24:$B$28,0),5)*E26,0)</f>
        <v>0</v>
      </c>
      <c r="P26" s="1">
        <f>IFERROR(INDEX(PREMIOS!$B$29:$F$31,MATCH(RIGHT(C26,2),PREMIOS!$B$29:$B$31,0),5)*E26,0)</f>
        <v>0</v>
      </c>
      <c r="Q26" s="1">
        <f>IFERROR(INDEX(PREMIOS!$B$32:$F$32,MATCH(RIGHT(C26,1),PREMIOS!$B$32:$B$32,0),5)*E26,0)</f>
        <v>0</v>
      </c>
      <c r="R26" s="59">
        <f t="shared" si="2"/>
        <v>0</v>
      </c>
      <c r="S26">
        <f t="shared" si="3"/>
        <v>0</v>
      </c>
      <c r="T26">
        <f t="shared" si="4"/>
        <v>0</v>
      </c>
    </row>
    <row r="27" spans="2:20">
      <c r="B27" s="40" t="s">
        <v>89</v>
      </c>
      <c r="C27" s="47">
        <v>80132</v>
      </c>
      <c r="D27" s="9" t="s">
        <v>92</v>
      </c>
      <c r="E27" s="8">
        <v>4</v>
      </c>
      <c r="F27" s="1" t="str">
        <f t="shared" si="0"/>
        <v>2</v>
      </c>
      <c r="G27" s="1">
        <f>IF(C27=PREMIOS!$B$4,E27*PREMIOS!$F$4,0)</f>
        <v>0</v>
      </c>
      <c r="H27" s="1">
        <f>IF(C27=PREMIOS!$B$5,E27*PREMIOS!$F$5,0)</f>
        <v>0</v>
      </c>
      <c r="I27" s="1">
        <f>IF(C27=PREMIOS!$B$6,E27*PREMIOS!$F$6,0)</f>
        <v>0</v>
      </c>
      <c r="J27" s="1">
        <f>IF(C27=PREMIOS!$B$7,E27*PREMIOS!$F$7,0)</f>
        <v>0</v>
      </c>
      <c r="K27" s="1">
        <f>IF(C27=PREMIOS!$B$8,E27*PREMIOS!$F$8,0)</f>
        <v>0</v>
      </c>
      <c r="L27" s="1">
        <f>IF(COUNTIF(PREMIOS!$B$9:$B$16,'2022'!C27),'2022'!E27*PREMIOS!$F$9,0)</f>
        <v>0</v>
      </c>
      <c r="M27" s="1">
        <f>IF('2022'!B27="SI",'2022'!E27*PREMIOS!$F$17,0)</f>
        <v>0</v>
      </c>
      <c r="N27" s="1">
        <f>IFERROR(INDEX(PREMIOS!$B$18:$F$23,MATCH(C27,PREMIOS!$B$18:$B$23,0),5)*E27,0)</f>
        <v>0</v>
      </c>
      <c r="O27" s="1">
        <f>IFERROR(INDEX(PREMIOS!$B$24:$F$28,MATCH(LEFT(C27,3),PREMIOS!$B$24:$B$28,0),5)*E27,0)</f>
        <v>0</v>
      </c>
      <c r="P27" s="1">
        <f>IFERROR(INDEX(PREMIOS!$B$29:$F$31,MATCH(RIGHT(C27,2),PREMIOS!$B$29:$B$31,0),5)*E27,0)</f>
        <v>0</v>
      </c>
      <c r="Q27" s="1">
        <f>IFERROR(INDEX(PREMIOS!$B$32:$F$32,MATCH(RIGHT(C27,1),PREMIOS!$B$32:$B$32,0),5)*E27,0)</f>
        <v>0</v>
      </c>
      <c r="R27" s="59">
        <f t="shared" si="2"/>
        <v>0</v>
      </c>
      <c r="S27">
        <f t="shared" si="3"/>
        <v>0</v>
      </c>
      <c r="T27">
        <f t="shared" si="4"/>
        <v>0</v>
      </c>
    </row>
    <row r="28" spans="2:20">
      <c r="B28" s="40" t="s">
        <v>89</v>
      </c>
      <c r="C28" s="47">
        <v>82161</v>
      </c>
      <c r="D28" s="9" t="s">
        <v>30</v>
      </c>
      <c r="E28" s="8">
        <v>20</v>
      </c>
      <c r="F28" s="1" t="str">
        <f t="shared" si="0"/>
        <v>1</v>
      </c>
      <c r="G28" s="1">
        <f>IF(C28=PREMIOS!$B$4,E28*PREMIOS!$F$4,0)</f>
        <v>0</v>
      </c>
      <c r="H28" s="1">
        <f>IF(C28=PREMIOS!$B$5,E28*PREMIOS!$F$5,0)</f>
        <v>0</v>
      </c>
      <c r="I28" s="1">
        <f>IF(C28=PREMIOS!$B$6,E28*PREMIOS!$F$6,0)</f>
        <v>0</v>
      </c>
      <c r="J28" s="1">
        <f>IF(C28=PREMIOS!$B$7,E28*PREMIOS!$F$7,0)</f>
        <v>0</v>
      </c>
      <c r="K28" s="1">
        <f>IF(C28=PREMIOS!$B$8,E28*PREMIOS!$F$8,0)</f>
        <v>0</v>
      </c>
      <c r="L28" s="1">
        <f>IF(COUNTIF(PREMIOS!$B$9:$B$16,'2022'!C28),'2022'!E28*PREMIOS!$F$9,0)</f>
        <v>0</v>
      </c>
      <c r="M28" s="1">
        <f>IF('2022'!B28="SI",'2022'!E28*PREMIOS!$F$17,0)</f>
        <v>0</v>
      </c>
      <c r="N28" s="1">
        <f>IFERROR(INDEX(PREMIOS!$B$18:$F$23,MATCH(C28,PREMIOS!$B$18:$B$23,0),5)*E28,0)</f>
        <v>0</v>
      </c>
      <c r="O28" s="1">
        <f>IFERROR(INDEX(PREMIOS!$B$24:$F$28,MATCH(LEFT(C28,3),PREMIOS!$B$24:$B$28,0),5)*E28,0)</f>
        <v>0</v>
      </c>
      <c r="P28" s="1">
        <f>IFERROR(INDEX(PREMIOS!$B$29:$F$31,MATCH(RIGHT(C28,2),PREMIOS!$B$29:$B$31,0),5)*E28,0)</f>
        <v>0</v>
      </c>
      <c r="Q28" s="1">
        <f>IFERROR(INDEX(PREMIOS!$B$32:$F$32,MATCH(RIGHT(C28,1),PREMIOS!$B$32:$B$32,0),5)*E28,0)</f>
        <v>0</v>
      </c>
      <c r="R28" s="59">
        <f t="shared" si="2"/>
        <v>0</v>
      </c>
      <c r="S28">
        <f t="shared" si="3"/>
        <v>0</v>
      </c>
      <c r="T28">
        <f t="shared" si="4"/>
        <v>0</v>
      </c>
    </row>
    <row r="29" spans="2:20">
      <c r="B29" s="40" t="s">
        <v>89</v>
      </c>
      <c r="C29" s="47">
        <v>86188</v>
      </c>
      <c r="D29" s="9" t="s">
        <v>35</v>
      </c>
      <c r="E29" s="8">
        <v>2</v>
      </c>
      <c r="F29" s="1" t="str">
        <f t="shared" ref="F29:F31" si="5">RIGHT(TEXT(C29,0),1)</f>
        <v>8</v>
      </c>
      <c r="G29" s="1">
        <f>IF(C29=PREMIOS!$B$4,E29*PREMIOS!$F$4,0)</f>
        <v>0</v>
      </c>
      <c r="H29" s="1">
        <f>IF(C29=PREMIOS!$B$5,E29*PREMIOS!$F$5,0)</f>
        <v>0</v>
      </c>
      <c r="I29" s="1">
        <f>IF(C29=PREMIOS!$B$6,E29*PREMIOS!$F$6,0)</f>
        <v>0</v>
      </c>
      <c r="J29" s="1">
        <f>IF(C29=PREMIOS!$B$7,E29*PREMIOS!$F$7,0)</f>
        <v>0</v>
      </c>
      <c r="K29" s="1">
        <f>IF(C29=PREMIOS!$B$8,E29*PREMIOS!$F$8,0)</f>
        <v>0</v>
      </c>
      <c r="L29" s="1">
        <f>IF(COUNTIF(PREMIOS!$B$9:$B$16,'2022'!C29),'2022'!E29*PREMIOS!$F$9,0)</f>
        <v>0</v>
      </c>
      <c r="M29" s="1">
        <f>IF('2022'!B29="SI",'2022'!E29*PREMIOS!$F$17,0)</f>
        <v>0</v>
      </c>
      <c r="N29" s="1">
        <f>IFERROR(INDEX(PREMIOS!$B$18:$F$23,MATCH(C29,PREMIOS!$B$18:$B$23,0),5)*E29,0)</f>
        <v>0</v>
      </c>
      <c r="O29" s="1">
        <f>IFERROR(INDEX(PREMIOS!$B$24:$F$28,MATCH(LEFT(C29,3),PREMIOS!$B$24:$B$28,0),5)*E29,0)</f>
        <v>0</v>
      </c>
      <c r="P29" s="1">
        <f>IFERROR(INDEX(PREMIOS!$B$29:$F$31,MATCH(RIGHT(C29,2),PREMIOS!$B$29:$B$31,0),5)*E29,0)</f>
        <v>0</v>
      </c>
      <c r="Q29" s="1">
        <f>IFERROR(INDEX(PREMIOS!$B$32:$F$32,MATCH(RIGHT(C29,1),PREMIOS!$B$32:$B$32,0),5)*E29,0)</f>
        <v>0</v>
      </c>
      <c r="R29" s="59">
        <f t="shared" si="2"/>
        <v>0</v>
      </c>
      <c r="S29">
        <f t="shared" si="3"/>
        <v>0</v>
      </c>
      <c r="T29">
        <f t="shared" si="4"/>
        <v>0</v>
      </c>
    </row>
    <row r="30" spans="2:20">
      <c r="B30" s="40" t="s">
        <v>89</v>
      </c>
      <c r="C30" s="47">
        <v>88770</v>
      </c>
      <c r="D30" s="9" t="s">
        <v>7</v>
      </c>
      <c r="E30" s="8">
        <v>5</v>
      </c>
      <c r="F30" s="1" t="str">
        <f t="shared" si="5"/>
        <v>0</v>
      </c>
      <c r="G30" s="1">
        <f>IF(C30=PREMIOS!$B$4,E30*PREMIOS!$F$4,0)</f>
        <v>0</v>
      </c>
      <c r="H30" s="1">
        <f>IF(C30=PREMIOS!$B$5,E30*PREMIOS!$F$5,0)</f>
        <v>0</v>
      </c>
      <c r="I30" s="1">
        <f>IF(C30=PREMIOS!$B$6,E30*PREMIOS!$F$6,0)</f>
        <v>0</v>
      </c>
      <c r="J30" s="1">
        <f>IF(C30=PREMIOS!$B$7,E30*PREMIOS!$F$7,0)</f>
        <v>0</v>
      </c>
      <c r="K30" s="1">
        <f>IF(C30=PREMIOS!$B$8,E30*PREMIOS!$F$8,0)</f>
        <v>0</v>
      </c>
      <c r="L30" s="1">
        <f>IF(COUNTIF(PREMIOS!$B$9:$B$16,'2022'!C30),'2022'!E30*PREMIOS!$F$9,0)</f>
        <v>0</v>
      </c>
      <c r="M30" s="1">
        <f>IF('2022'!B30="SI",'2022'!E30*PREMIOS!$F$17,0)</f>
        <v>0</v>
      </c>
      <c r="N30" s="1">
        <f>IFERROR(INDEX(PREMIOS!$B$18:$F$23,MATCH(C30,PREMIOS!$B$18:$B$23,0),5)*E30,0)</f>
        <v>0</v>
      </c>
      <c r="O30" s="1">
        <f>IFERROR(INDEX(PREMIOS!$B$24:$F$28,MATCH(LEFT(C30,3),PREMIOS!$B$24:$B$28,0),5)*E30,0)</f>
        <v>0</v>
      </c>
      <c r="P30" s="1">
        <f>IFERROR(INDEX(PREMIOS!$B$29:$F$31,MATCH(RIGHT(C30,2),PREMIOS!$B$29:$B$31,0),5)*E30,0)</f>
        <v>0</v>
      </c>
      <c r="Q30" s="1">
        <f>IFERROR(INDEX(PREMIOS!$B$32:$F$32,MATCH(RIGHT(C30,1),PREMIOS!$B$32:$B$32,0),5)*E30,0)</f>
        <v>5</v>
      </c>
      <c r="R30" s="59">
        <f t="shared" si="2"/>
        <v>5</v>
      </c>
      <c r="S30">
        <f t="shared" si="3"/>
        <v>0</v>
      </c>
      <c r="T30">
        <f t="shared" si="4"/>
        <v>5</v>
      </c>
    </row>
    <row r="31" spans="2:20">
      <c r="B31" s="40" t="s">
        <v>89</v>
      </c>
      <c r="C31" s="47">
        <v>94296</v>
      </c>
      <c r="D31" s="9" t="s">
        <v>37</v>
      </c>
      <c r="E31" s="8">
        <v>5</v>
      </c>
      <c r="F31" s="1" t="str">
        <f t="shared" si="5"/>
        <v>6</v>
      </c>
      <c r="G31" s="1">
        <f>IF(C31=PREMIOS!$B$4,E31*PREMIOS!$F$4,0)</f>
        <v>0</v>
      </c>
      <c r="H31" s="1">
        <f>IF(C31=PREMIOS!$B$5,E31*PREMIOS!$F$5,0)</f>
        <v>0</v>
      </c>
      <c r="I31" s="1">
        <f>IF(C31=PREMIOS!$B$6,E31*PREMIOS!$F$6,0)</f>
        <v>0</v>
      </c>
      <c r="J31" s="1">
        <f>IF(C31=PREMIOS!$B$7,E31*PREMIOS!$F$7,0)</f>
        <v>0</v>
      </c>
      <c r="K31" s="1">
        <f>IF(C31=PREMIOS!$B$8,E31*PREMIOS!$F$8,0)</f>
        <v>0</v>
      </c>
      <c r="L31" s="1">
        <f>IF(COUNTIF(PREMIOS!$B$9:$B$16,'2022'!C31),'2022'!E31*PREMIOS!$F$9,0)</f>
        <v>0</v>
      </c>
      <c r="M31" s="1">
        <f>IF('2022'!B31="SI",'2022'!E31*PREMIOS!$F$17,0)</f>
        <v>0</v>
      </c>
      <c r="N31" s="1">
        <f>IFERROR(INDEX(PREMIOS!$B$18:$F$23,MATCH(C31,PREMIOS!$B$18:$B$23,0),5)*E31,0)</f>
        <v>0</v>
      </c>
      <c r="O31" s="1">
        <f>IFERROR(INDEX(PREMIOS!$B$24:$F$28,MATCH(LEFT(C31,3),PREMIOS!$B$24:$B$28,0),5)*E31,0)</f>
        <v>0</v>
      </c>
      <c r="P31" s="1">
        <f>IFERROR(INDEX(PREMIOS!$B$29:$F$31,MATCH(RIGHT(C31,2),PREMIOS!$B$29:$B$31,0),5)*E31,0)</f>
        <v>0</v>
      </c>
      <c r="Q31" s="1">
        <f>IFERROR(INDEX(PREMIOS!$B$32:$F$32,MATCH(RIGHT(C31,1),PREMIOS!$B$32:$B$32,0),5)*E31,0)</f>
        <v>0</v>
      </c>
      <c r="R31" s="59">
        <f t="shared" si="2"/>
        <v>0</v>
      </c>
      <c r="S31">
        <f t="shared" si="3"/>
        <v>0</v>
      </c>
      <c r="T31">
        <f t="shared" si="4"/>
        <v>0</v>
      </c>
    </row>
    <row r="32" spans="2:20">
      <c r="B32" s="40" t="s">
        <v>89</v>
      </c>
      <c r="C32" s="47">
        <v>95823</v>
      </c>
      <c r="D32" s="9" t="s">
        <v>29</v>
      </c>
      <c r="E32" s="8">
        <v>20</v>
      </c>
      <c r="F32" s="1" t="str">
        <f t="shared" si="0"/>
        <v>3</v>
      </c>
      <c r="G32" s="1">
        <f>IF(C32=PREMIOS!$B$4,E32*PREMIOS!$F$4,0)</f>
        <v>0</v>
      </c>
      <c r="H32" s="1">
        <f>IF(C32=PREMIOS!$B$5,E32*PREMIOS!$F$5,0)</f>
        <v>0</v>
      </c>
      <c r="I32" s="1">
        <f>IF(C32=PREMIOS!$B$6,E32*PREMIOS!$F$6,0)</f>
        <v>0</v>
      </c>
      <c r="J32" s="1">
        <f>IF(C32=PREMIOS!$B$7,E32*PREMIOS!$F$7,0)</f>
        <v>0</v>
      </c>
      <c r="K32" s="1">
        <f>IF(C32=PREMIOS!$B$8,E32*PREMIOS!$F$8,0)</f>
        <v>0</v>
      </c>
      <c r="L32" s="1">
        <f>IF(COUNTIF(PREMIOS!$B$9:$B$16,'2022'!C32),'2022'!E32*PREMIOS!$F$9,0)</f>
        <v>0</v>
      </c>
      <c r="M32" s="1">
        <f>IF('2022'!B32="SI",'2022'!E32*PREMIOS!$F$17,0)</f>
        <v>0</v>
      </c>
      <c r="N32" s="1">
        <f>IFERROR(INDEX(PREMIOS!$B$18:$F$23,MATCH(C32,PREMIOS!$B$18:$B$23,0),5)*E32,0)</f>
        <v>0</v>
      </c>
      <c r="O32" s="1">
        <f>IFERROR(INDEX(PREMIOS!$B$24:$F$28,MATCH(LEFT(C32,3),PREMIOS!$B$24:$B$28,0),5)*E32,0)</f>
        <v>0</v>
      </c>
      <c r="P32" s="1">
        <f>IFERROR(INDEX(PREMIOS!$B$29:$F$31,MATCH(RIGHT(C32,2),PREMIOS!$B$29:$B$31,0),5)*E32,0)</f>
        <v>0</v>
      </c>
      <c r="Q32" s="1">
        <f>IFERROR(INDEX(PREMIOS!$B$32:$F$32,MATCH(RIGHT(C32,1),PREMIOS!$B$32:$B$32,0),5)*E32,0)</f>
        <v>0</v>
      </c>
      <c r="R32" s="59">
        <f t="shared" si="2"/>
        <v>0</v>
      </c>
      <c r="S32">
        <f t="shared" si="3"/>
        <v>0</v>
      </c>
      <c r="T32">
        <f t="shared" si="4"/>
        <v>0</v>
      </c>
    </row>
    <row r="33" spans="2:20">
      <c r="B33" s="40" t="s">
        <v>89</v>
      </c>
      <c r="C33" s="47">
        <v>96890</v>
      </c>
      <c r="D33" s="9" t="s">
        <v>9</v>
      </c>
      <c r="E33" s="8">
        <v>5</v>
      </c>
      <c r="F33" s="1" t="str">
        <f t="shared" ref="F33:F44" si="6">RIGHT(TEXT(C33,0),1)</f>
        <v>0</v>
      </c>
      <c r="G33" s="1">
        <f>IF(C33=PREMIOS!$B$4,E33*PREMIOS!$F$4,0)</f>
        <v>0</v>
      </c>
      <c r="H33" s="1">
        <f>IF(C33=PREMIOS!$B$5,E33*PREMIOS!$F$5,0)</f>
        <v>0</v>
      </c>
      <c r="I33" s="1">
        <f>IF(C33=PREMIOS!$B$6,E33*PREMIOS!$F$6,0)</f>
        <v>0</v>
      </c>
      <c r="J33" s="1">
        <f>IF(C33=PREMIOS!$B$7,E33*PREMIOS!$F$7,0)</f>
        <v>0</v>
      </c>
      <c r="K33" s="1">
        <f>IF(C33=PREMIOS!$B$8,E33*PREMIOS!$F$8,0)</f>
        <v>0</v>
      </c>
      <c r="L33" s="1">
        <f>IF(COUNTIF(PREMIOS!$B$9:$B$16,'2022'!C33),'2022'!E33*PREMIOS!$F$9,0)</f>
        <v>0</v>
      </c>
      <c r="M33" s="1">
        <f>IF('2022'!B33="SI",'2022'!E33*PREMIOS!$F$17,0)</f>
        <v>0</v>
      </c>
      <c r="N33" s="1">
        <f>IFERROR(INDEX(PREMIOS!$B$18:$F$23,MATCH(C33,PREMIOS!$B$18:$B$23,0),5)*E33,0)</f>
        <v>0</v>
      </c>
      <c r="O33" s="1">
        <f>IFERROR(INDEX(PREMIOS!$B$24:$F$28,MATCH(LEFT(C33,3),PREMIOS!$B$24:$B$28,0),5)*E33,0)</f>
        <v>0</v>
      </c>
      <c r="P33" s="1">
        <f>IFERROR(INDEX(PREMIOS!$B$29:$F$31,MATCH(RIGHT(C33,2),PREMIOS!$B$29:$B$31,0),5)*E33,0)</f>
        <v>25</v>
      </c>
      <c r="Q33" s="1">
        <f>IFERROR(INDEX(PREMIOS!$B$32:$F$32,MATCH(RIGHT(C33,1),PREMIOS!$B$32:$B$32,0),5)*E33,0)</f>
        <v>5</v>
      </c>
      <c r="R33" s="59">
        <f t="shared" si="2"/>
        <v>30</v>
      </c>
      <c r="S33">
        <f t="shared" si="3"/>
        <v>0</v>
      </c>
      <c r="T33">
        <f t="shared" si="4"/>
        <v>30</v>
      </c>
    </row>
    <row r="34" spans="2:20">
      <c r="B34" s="40" t="s">
        <v>89</v>
      </c>
      <c r="C34" s="47"/>
      <c r="D34" s="9"/>
      <c r="E34" s="8"/>
      <c r="F34" s="1" t="str">
        <f t="shared" si="6"/>
        <v>0</v>
      </c>
      <c r="G34" s="1">
        <f>IF(C34=PREMIOS!$B$4,E34*PREMIOS!$F$4,0)</f>
        <v>0</v>
      </c>
      <c r="H34" s="1">
        <f>IF(C34=PREMIOS!$B$5,E34*PREMIOS!$F$5,0)</f>
        <v>0</v>
      </c>
      <c r="I34" s="1">
        <f>IF(C34=PREMIOS!$B$6,E34*PREMIOS!$F$6,0)</f>
        <v>0</v>
      </c>
      <c r="J34" s="1">
        <f>IF(C34=PREMIOS!$B$7,E34*PREMIOS!$F$7,0)</f>
        <v>0</v>
      </c>
      <c r="K34" s="1">
        <f>IF(C34=PREMIOS!$B$8,E34*PREMIOS!$F$8,0)</f>
        <v>0</v>
      </c>
      <c r="L34" s="1">
        <f>IF(COUNTIF(PREMIOS!$B$9:$B$16,'2022'!C34),'2022'!E34*PREMIOS!$F$9,0)</f>
        <v>0</v>
      </c>
      <c r="M34" s="1">
        <f>IF('2022'!B34="SI",'2022'!E34*PREMIOS!$F$17,0)</f>
        <v>0</v>
      </c>
      <c r="N34" s="1">
        <f>IFERROR(INDEX(PREMIOS!$B$18:$F$23,MATCH(C34,PREMIOS!$B$18:$B$23,0),5)*E34,0)</f>
        <v>0</v>
      </c>
      <c r="O34" s="1">
        <f>IFERROR(INDEX(PREMIOS!$B$24:$F$28,MATCH(LEFT(C34,3),PREMIOS!$B$24:$B$28,0),5)*E34,0)</f>
        <v>0</v>
      </c>
      <c r="P34" s="1">
        <f>IFERROR(INDEX(PREMIOS!$B$29:$F$31,MATCH(RIGHT(C34,2),PREMIOS!$B$29:$B$31,0),5)*E34,0)</f>
        <v>0</v>
      </c>
      <c r="Q34" s="1">
        <f>IFERROR(INDEX(PREMIOS!$B$32:$F$32,MATCH(RIGHT(C34,1),PREMIOS!$B$32:$B$32,0),5)*E34,0)</f>
        <v>0</v>
      </c>
      <c r="R34" s="59">
        <f t="shared" si="2"/>
        <v>0</v>
      </c>
      <c r="S34">
        <f t="shared" si="3"/>
        <v>0</v>
      </c>
      <c r="T34">
        <f t="shared" si="4"/>
        <v>0</v>
      </c>
    </row>
    <row r="35" spans="2:20">
      <c r="B35" s="40" t="s">
        <v>89</v>
      </c>
      <c r="C35" s="47"/>
      <c r="D35" s="9"/>
      <c r="E35" s="8"/>
      <c r="F35" s="1" t="str">
        <f t="shared" si="6"/>
        <v>0</v>
      </c>
      <c r="G35" s="1">
        <f>IF(C35=PREMIOS!$B$4,E35*PREMIOS!$F$4,0)</f>
        <v>0</v>
      </c>
      <c r="H35" s="1">
        <f>IF(C35=PREMIOS!$B$5,E35*PREMIOS!$F$5,0)</f>
        <v>0</v>
      </c>
      <c r="I35" s="1">
        <f>IF(C35=PREMIOS!$B$6,E35*PREMIOS!$F$6,0)</f>
        <v>0</v>
      </c>
      <c r="J35" s="1">
        <f>IF(C35=PREMIOS!$B$7,E35*PREMIOS!$F$7,0)</f>
        <v>0</v>
      </c>
      <c r="K35" s="1">
        <f>IF(C35=PREMIOS!$B$8,E35*PREMIOS!$F$8,0)</f>
        <v>0</v>
      </c>
      <c r="L35" s="1">
        <f>IF(COUNTIF(PREMIOS!$B$9:$B$16,'2022'!C35),'2022'!E35*PREMIOS!$F$9,0)</f>
        <v>0</v>
      </c>
      <c r="M35" s="1">
        <f>IF('2022'!B35="SI",'2022'!E35*PREMIOS!$F$17,0)</f>
        <v>0</v>
      </c>
      <c r="N35" s="1">
        <f>IFERROR(INDEX(PREMIOS!$B$18:$F$23,MATCH(C35,PREMIOS!$B$18:$B$23,0),5)*E35,0)</f>
        <v>0</v>
      </c>
      <c r="O35" s="1">
        <f>IFERROR(INDEX(PREMIOS!$B$24:$F$28,MATCH(LEFT(C35,3),PREMIOS!$B$24:$B$28,0),5)*E35,0)</f>
        <v>0</v>
      </c>
      <c r="P35" s="1">
        <f>IFERROR(INDEX(PREMIOS!$B$29:$F$31,MATCH(RIGHT(C35,2),PREMIOS!$B$29:$B$31,0),5)*E35,0)</f>
        <v>0</v>
      </c>
      <c r="Q35" s="1">
        <f>IFERROR(INDEX(PREMIOS!$B$32:$F$32,MATCH(RIGHT(C35,1),PREMIOS!$B$32:$B$32,0),5)*E35,0)</f>
        <v>0</v>
      </c>
      <c r="R35" s="59">
        <f t="shared" si="2"/>
        <v>0</v>
      </c>
      <c r="S35">
        <f t="shared" si="3"/>
        <v>0</v>
      </c>
      <c r="T35">
        <f t="shared" si="4"/>
        <v>0</v>
      </c>
    </row>
    <row r="36" spans="2:20">
      <c r="B36" s="40" t="s">
        <v>74</v>
      </c>
      <c r="C36" s="47"/>
      <c r="D36" s="9"/>
      <c r="E36" s="8"/>
      <c r="F36" s="1" t="str">
        <f t="shared" si="6"/>
        <v>0</v>
      </c>
      <c r="G36" s="1">
        <f>IF(C36=PREMIOS!$B$4,E36*PREMIOS!$F$4,0)</f>
        <v>0</v>
      </c>
      <c r="H36" s="1">
        <f>IF(C36=PREMIOS!$B$5,E36*PREMIOS!$F$5,0)</f>
        <v>0</v>
      </c>
      <c r="I36" s="1">
        <f>IF(C36=PREMIOS!$B$6,E36*PREMIOS!$F$6,0)</f>
        <v>0</v>
      </c>
      <c r="J36" s="1">
        <f>IF(C36=PREMIOS!$B$7,E36*PREMIOS!$F$7,0)</f>
        <v>0</v>
      </c>
      <c r="K36" s="1">
        <f>IF(C36=PREMIOS!$B$8,E36*PREMIOS!$F$8,0)</f>
        <v>0</v>
      </c>
      <c r="L36" s="1">
        <f>IF(COUNTIF(PREMIOS!$B$9:$B$16,'2022'!C36),'2022'!E36*PREMIOS!$F$9,0)</f>
        <v>0</v>
      </c>
      <c r="M36" s="1">
        <f>IF('2022'!B36="SI",'2022'!E36*PREMIOS!$F$17,0)</f>
        <v>0</v>
      </c>
      <c r="N36" s="1">
        <f>IFERROR(INDEX(PREMIOS!$B$18:$F$23,MATCH(C36,PREMIOS!$B$18:$B$23,0),5)*E36,0)</f>
        <v>0</v>
      </c>
      <c r="O36" s="1">
        <f>IFERROR(INDEX(PREMIOS!$B$24:$F$28,MATCH(LEFT(C36,3),PREMIOS!$B$24:$B$28,0),5)*E36,0)</f>
        <v>0</v>
      </c>
      <c r="P36" s="1">
        <f>IFERROR(INDEX(PREMIOS!$B$29:$F$31,MATCH(RIGHT(C36,2),PREMIOS!$B$29:$B$31,0),5)*E36,0)</f>
        <v>0</v>
      </c>
      <c r="Q36" s="1">
        <f>IFERROR(INDEX(PREMIOS!$B$32:$F$32,MATCH(RIGHT(C36,1),PREMIOS!$B$32:$B$32,0),5)*E36,0)</f>
        <v>0</v>
      </c>
      <c r="R36" s="59">
        <f t="shared" si="2"/>
        <v>0</v>
      </c>
      <c r="S36">
        <f t="shared" si="3"/>
        <v>0</v>
      </c>
      <c r="T36">
        <f t="shared" si="4"/>
        <v>0</v>
      </c>
    </row>
    <row r="37" spans="2:20">
      <c r="B37" s="40" t="s">
        <v>74</v>
      </c>
      <c r="C37" s="47"/>
      <c r="D37" s="9"/>
      <c r="E37" s="8"/>
      <c r="F37" s="1" t="str">
        <f t="shared" si="6"/>
        <v>0</v>
      </c>
      <c r="G37" s="1">
        <f>IF(C37=PREMIOS!$B$4,E37*PREMIOS!$F$4,0)</f>
        <v>0</v>
      </c>
      <c r="H37" s="1">
        <f>IF(C37=PREMIOS!$B$5,E37*PREMIOS!$F$5,0)</f>
        <v>0</v>
      </c>
      <c r="I37" s="1">
        <f>IF(C37=PREMIOS!$B$6,E37*PREMIOS!$F$6,0)</f>
        <v>0</v>
      </c>
      <c r="J37" s="1">
        <f>IF(C37=PREMIOS!$B$7,E37*PREMIOS!$F$7,0)</f>
        <v>0</v>
      </c>
      <c r="K37" s="1">
        <f>IF(C37=PREMIOS!$B$8,E37*PREMIOS!$F$8,0)</f>
        <v>0</v>
      </c>
      <c r="L37" s="1">
        <f>IF(COUNTIF(PREMIOS!$B$9:$B$16,'2022'!C37),'2022'!E37*PREMIOS!$F$9,0)</f>
        <v>0</v>
      </c>
      <c r="M37" s="1">
        <f>IF('2022'!B37="SI",'2022'!E37*PREMIOS!$F$17,0)</f>
        <v>0</v>
      </c>
      <c r="N37" s="1">
        <f>IFERROR(INDEX(PREMIOS!$B$18:$F$23,MATCH(C37,PREMIOS!$B$18:$B$23,0),5)*E37,0)</f>
        <v>0</v>
      </c>
      <c r="O37" s="1">
        <f>IFERROR(INDEX(PREMIOS!$B$24:$F$28,MATCH(LEFT(C37,3),PREMIOS!$B$24:$B$28,0),5)*E37,0)</f>
        <v>0</v>
      </c>
      <c r="P37" s="1">
        <f>IFERROR(INDEX(PREMIOS!$B$29:$F$31,MATCH(RIGHT(C37,2),PREMIOS!$B$29:$B$31,0),5)*E37,0)</f>
        <v>0</v>
      </c>
      <c r="Q37" s="1">
        <f>IFERROR(INDEX(PREMIOS!$B$32:$F$32,MATCH(RIGHT(C37,1),PREMIOS!$B$32:$B$32,0),5)*E37,0)</f>
        <v>0</v>
      </c>
      <c r="R37" s="59">
        <f t="shared" si="2"/>
        <v>0</v>
      </c>
      <c r="S37">
        <f t="shared" si="3"/>
        <v>0</v>
      </c>
      <c r="T37">
        <f t="shared" si="4"/>
        <v>0</v>
      </c>
    </row>
    <row r="38" spans="2:20">
      <c r="B38" s="40" t="s">
        <v>74</v>
      </c>
      <c r="C38" s="47"/>
      <c r="D38" s="9"/>
      <c r="E38" s="8"/>
      <c r="F38" s="1" t="str">
        <f t="shared" si="6"/>
        <v>0</v>
      </c>
      <c r="G38" s="1">
        <f>IF(C38=PREMIOS!$B$4,E38*PREMIOS!$F$4,0)</f>
        <v>0</v>
      </c>
      <c r="H38" s="1">
        <f>IF(C38=PREMIOS!$B$5,E38*PREMIOS!$F$5,0)</f>
        <v>0</v>
      </c>
      <c r="I38" s="1">
        <f>IF(C38=PREMIOS!$B$6,E38*PREMIOS!$F$6,0)</f>
        <v>0</v>
      </c>
      <c r="J38" s="1">
        <f>IF(C38=PREMIOS!$B$7,E38*PREMIOS!$F$7,0)</f>
        <v>0</v>
      </c>
      <c r="K38" s="1">
        <f>IF(C38=PREMIOS!$B$8,E38*PREMIOS!$F$8,0)</f>
        <v>0</v>
      </c>
      <c r="L38" s="1">
        <f>IF(COUNTIF(PREMIOS!$B$9:$B$16,'2022'!C38),'2022'!E38*PREMIOS!$F$9,0)</f>
        <v>0</v>
      </c>
      <c r="M38" s="1">
        <f>IF('2022'!B38="SI",'2022'!E38*PREMIOS!$F$17,0)</f>
        <v>0</v>
      </c>
      <c r="N38" s="1">
        <f>IFERROR(INDEX(PREMIOS!$B$18:$F$23,MATCH(C38,PREMIOS!$B$18:$B$23,0),5)*E38,0)</f>
        <v>0</v>
      </c>
      <c r="O38" s="1">
        <f>IFERROR(INDEX(PREMIOS!$B$24:$F$28,MATCH(LEFT(C38,3),PREMIOS!$B$24:$B$28,0),5)*E38,0)</f>
        <v>0</v>
      </c>
      <c r="P38" s="1">
        <f>IFERROR(INDEX(PREMIOS!$B$29:$F$31,MATCH(RIGHT(C38,2),PREMIOS!$B$29:$B$31,0),5)*E38,0)</f>
        <v>0</v>
      </c>
      <c r="Q38" s="1">
        <f>IFERROR(INDEX(PREMIOS!$B$32:$F$32,MATCH(RIGHT(C38,1),PREMIOS!$B$32:$B$32,0),5)*E38,0)</f>
        <v>0</v>
      </c>
      <c r="R38" s="59">
        <f t="shared" si="2"/>
        <v>0</v>
      </c>
      <c r="S38">
        <f t="shared" si="3"/>
        <v>0</v>
      </c>
      <c r="T38">
        <f t="shared" si="4"/>
        <v>0</v>
      </c>
    </row>
    <row r="39" spans="2:20">
      <c r="B39" s="40" t="s">
        <v>74</v>
      </c>
      <c r="C39" s="47"/>
      <c r="D39" s="9"/>
      <c r="E39" s="8"/>
      <c r="F39" s="1" t="str">
        <f t="shared" si="6"/>
        <v>0</v>
      </c>
      <c r="G39" s="1">
        <f>IF(C39=PREMIOS!$B$4,E39*PREMIOS!$F$4,0)</f>
        <v>0</v>
      </c>
      <c r="H39" s="1">
        <f>IF(C39=PREMIOS!$B$5,E39*PREMIOS!$F$5,0)</f>
        <v>0</v>
      </c>
      <c r="I39" s="1">
        <f>IF(C39=PREMIOS!$B$6,E39*PREMIOS!$F$6,0)</f>
        <v>0</v>
      </c>
      <c r="J39" s="1">
        <f>IF(C39=PREMIOS!$B$7,E39*PREMIOS!$F$7,0)</f>
        <v>0</v>
      </c>
      <c r="K39" s="1">
        <f>IF(C39=PREMIOS!$B$8,E39*PREMIOS!$F$8,0)</f>
        <v>0</v>
      </c>
      <c r="L39" s="1">
        <f>IF(COUNTIF(PREMIOS!$B$9:$B$16,'2022'!C39),'2022'!E39*PREMIOS!$F$9,0)</f>
        <v>0</v>
      </c>
      <c r="M39" s="1">
        <f>IF('2022'!B39="SI",'2022'!E39*PREMIOS!$F$17,0)</f>
        <v>0</v>
      </c>
      <c r="N39" s="1">
        <f>IFERROR(INDEX(PREMIOS!$B$18:$F$23,MATCH(C39,PREMIOS!$B$18:$B$23,0),5)*E39,0)</f>
        <v>0</v>
      </c>
      <c r="O39" s="1">
        <f>IFERROR(INDEX(PREMIOS!$B$24:$F$28,MATCH(LEFT(C39,3),PREMIOS!$B$24:$B$28,0),5)*E39,0)</f>
        <v>0</v>
      </c>
      <c r="P39" s="1">
        <f>IFERROR(INDEX(PREMIOS!$B$29:$F$31,MATCH(RIGHT(C39,2),PREMIOS!$B$29:$B$31,0),5)*E39,0)</f>
        <v>0</v>
      </c>
      <c r="Q39" s="1">
        <f>IFERROR(INDEX(PREMIOS!$B$32:$F$32,MATCH(RIGHT(C39,1),PREMIOS!$B$32:$B$32,0),5)*E39,0)</f>
        <v>0</v>
      </c>
      <c r="R39" s="59">
        <f t="shared" si="2"/>
        <v>0</v>
      </c>
      <c r="S39">
        <f t="shared" si="3"/>
        <v>0</v>
      </c>
      <c r="T39">
        <f t="shared" si="4"/>
        <v>0</v>
      </c>
    </row>
    <row r="40" spans="2:20">
      <c r="B40" s="40" t="s">
        <v>74</v>
      </c>
      <c r="C40" s="47"/>
      <c r="D40" s="9"/>
      <c r="E40" s="8"/>
      <c r="F40" s="1" t="str">
        <f t="shared" si="6"/>
        <v>0</v>
      </c>
      <c r="G40" s="1">
        <f>IF(C40=PREMIOS!$B$4,E40*PREMIOS!$F$4,0)</f>
        <v>0</v>
      </c>
      <c r="H40" s="1">
        <f>IF(C40=PREMIOS!$B$5,E40*PREMIOS!$F$5,0)</f>
        <v>0</v>
      </c>
      <c r="I40" s="1">
        <f>IF(C40=PREMIOS!$B$6,E40*PREMIOS!$F$6,0)</f>
        <v>0</v>
      </c>
      <c r="J40" s="1">
        <f>IF(C40=PREMIOS!$B$7,E40*PREMIOS!$F$7,0)</f>
        <v>0</v>
      </c>
      <c r="K40" s="1">
        <f>IF(C40=PREMIOS!$B$8,E40*PREMIOS!$F$8,0)</f>
        <v>0</v>
      </c>
      <c r="L40" s="1">
        <f>IF(COUNTIF(PREMIOS!$B$9:$B$16,'2022'!C40),'2022'!E40*PREMIOS!$F$9,0)</f>
        <v>0</v>
      </c>
      <c r="M40" s="1">
        <f>IF('2022'!B40="SI",'2022'!E40*PREMIOS!$F$17,0)</f>
        <v>0</v>
      </c>
      <c r="N40" s="1">
        <f>IFERROR(INDEX(PREMIOS!$B$18:$F$23,MATCH(C40,PREMIOS!$B$18:$B$23,0),5)*E40,0)</f>
        <v>0</v>
      </c>
      <c r="O40" s="1">
        <f>IFERROR(INDEX(PREMIOS!$B$24:$F$28,MATCH(LEFT(C40,3),PREMIOS!$B$24:$B$28,0),5)*E40,0)</f>
        <v>0</v>
      </c>
      <c r="P40" s="1">
        <f>IFERROR(INDEX(PREMIOS!$B$29:$F$31,MATCH(RIGHT(C40,2),PREMIOS!$B$29:$B$31,0),5)*E40,0)</f>
        <v>0</v>
      </c>
      <c r="Q40" s="1">
        <f>IFERROR(INDEX(PREMIOS!$B$32:$F$32,MATCH(RIGHT(C40,1),PREMIOS!$B$32:$B$32,0),5)*E40,0)</f>
        <v>0</v>
      </c>
      <c r="R40" s="59">
        <f t="shared" si="2"/>
        <v>0</v>
      </c>
      <c r="S40">
        <f t="shared" si="3"/>
        <v>0</v>
      </c>
      <c r="T40">
        <f t="shared" si="4"/>
        <v>0</v>
      </c>
    </row>
    <row r="41" spans="2:20">
      <c r="B41" s="40" t="s">
        <v>74</v>
      </c>
      <c r="C41" s="47"/>
      <c r="D41" s="9"/>
      <c r="E41" s="8"/>
      <c r="F41" s="1" t="str">
        <f t="shared" si="6"/>
        <v>0</v>
      </c>
      <c r="G41" s="1">
        <f>IF(C41=PREMIOS!$B$4,E41*PREMIOS!$F$4,0)</f>
        <v>0</v>
      </c>
      <c r="H41" s="1">
        <f>IF(C41=PREMIOS!$B$5,E41*PREMIOS!$F$5,0)</f>
        <v>0</v>
      </c>
      <c r="I41" s="1">
        <f>IF(C41=PREMIOS!$B$6,E41*PREMIOS!$F$6,0)</f>
        <v>0</v>
      </c>
      <c r="J41" s="1">
        <f>IF(C41=PREMIOS!$B$7,E41*PREMIOS!$F$7,0)</f>
        <v>0</v>
      </c>
      <c r="K41" s="1">
        <f>IF(C41=PREMIOS!$B$8,E41*PREMIOS!$F$8,0)</f>
        <v>0</v>
      </c>
      <c r="L41" s="1">
        <f>IF(COUNTIF(PREMIOS!$B$9:$B$16,'2022'!C41),'2022'!E41*PREMIOS!$F$9,0)</f>
        <v>0</v>
      </c>
      <c r="M41" s="1">
        <f>IF('2022'!B41="SI",'2022'!E41*PREMIOS!$F$17,0)</f>
        <v>0</v>
      </c>
      <c r="N41" s="1">
        <f>IFERROR(INDEX(PREMIOS!$B$18:$F$23,MATCH(C41,PREMIOS!$B$18:$B$23,0),5)*E41,0)</f>
        <v>0</v>
      </c>
      <c r="O41" s="1">
        <f>IFERROR(INDEX(PREMIOS!$B$24:$F$28,MATCH(LEFT(C41,3),PREMIOS!$B$24:$B$28,0),5)*E41,0)</f>
        <v>0</v>
      </c>
      <c r="P41" s="1">
        <f>IFERROR(INDEX(PREMIOS!$B$29:$F$31,MATCH(RIGHT(C41,2),PREMIOS!$B$29:$B$31,0),5)*E41,0)</f>
        <v>0</v>
      </c>
      <c r="Q41" s="1">
        <f>IFERROR(INDEX(PREMIOS!$B$32:$F$32,MATCH(RIGHT(C41,1),PREMIOS!$B$32:$B$32,0),5)*E41,0)</f>
        <v>0</v>
      </c>
      <c r="R41" s="59">
        <f t="shared" si="2"/>
        <v>0</v>
      </c>
      <c r="S41">
        <f t="shared" si="3"/>
        <v>0</v>
      </c>
      <c r="T41">
        <f t="shared" si="4"/>
        <v>0</v>
      </c>
    </row>
    <row r="42" spans="2:20">
      <c r="B42" s="40" t="s">
        <v>74</v>
      </c>
      <c r="C42" s="47"/>
      <c r="D42" s="9"/>
      <c r="E42" s="8"/>
      <c r="F42" s="1" t="str">
        <f t="shared" si="6"/>
        <v>0</v>
      </c>
      <c r="G42" s="1">
        <f>IF(C42=PREMIOS!$B$4,E42*PREMIOS!$F$4,0)</f>
        <v>0</v>
      </c>
      <c r="H42" s="1">
        <f>IF(C42=PREMIOS!$B$5,E42*PREMIOS!$F$5,0)</f>
        <v>0</v>
      </c>
      <c r="I42" s="1">
        <f>IF(C42=PREMIOS!$B$6,E42*PREMIOS!$F$6,0)</f>
        <v>0</v>
      </c>
      <c r="J42" s="1">
        <f>IF(C42=PREMIOS!$B$7,E42*PREMIOS!$F$7,0)</f>
        <v>0</v>
      </c>
      <c r="K42" s="1">
        <f>IF(C42=PREMIOS!$B$8,E42*PREMIOS!$F$8,0)</f>
        <v>0</v>
      </c>
      <c r="L42" s="1">
        <f>IF(COUNTIF(PREMIOS!$B$9:$B$16,'2022'!C42),'2022'!E42*PREMIOS!$F$9,0)</f>
        <v>0</v>
      </c>
      <c r="M42" s="1">
        <f>IF('2022'!B42="SI",'2022'!E42*PREMIOS!$F$17,0)</f>
        <v>0</v>
      </c>
      <c r="N42" s="1">
        <f>IFERROR(INDEX(PREMIOS!$B$18:$F$23,MATCH(C42,PREMIOS!$B$18:$B$23,0),5)*E42,0)</f>
        <v>0</v>
      </c>
      <c r="O42" s="1">
        <f>IFERROR(INDEX(PREMIOS!$B$24:$F$28,MATCH(LEFT(C42,3),PREMIOS!$B$24:$B$28,0),5)*E42,0)</f>
        <v>0</v>
      </c>
      <c r="P42" s="1">
        <f>IFERROR(INDEX(PREMIOS!$B$29:$F$31,MATCH(RIGHT(C42,2),PREMIOS!$B$29:$B$31,0),5)*E42,0)</f>
        <v>0</v>
      </c>
      <c r="Q42" s="1">
        <f>IFERROR(INDEX(PREMIOS!$B$32:$F$32,MATCH(RIGHT(C42,1),PREMIOS!$B$32:$B$32,0),5)*E42,0)</f>
        <v>0</v>
      </c>
      <c r="R42" s="59">
        <f t="shared" si="2"/>
        <v>0</v>
      </c>
      <c r="S42">
        <f t="shared" si="3"/>
        <v>0</v>
      </c>
      <c r="T42">
        <f t="shared" si="4"/>
        <v>0</v>
      </c>
    </row>
    <row r="43" spans="2:20">
      <c r="B43" s="40" t="s">
        <v>74</v>
      </c>
      <c r="C43" s="47"/>
      <c r="D43" s="9"/>
      <c r="E43" s="8"/>
      <c r="F43" s="1" t="str">
        <f t="shared" si="6"/>
        <v>0</v>
      </c>
      <c r="G43" s="1">
        <f>IF(C43=PREMIOS!$B$4,E43*PREMIOS!$F$4,0)</f>
        <v>0</v>
      </c>
      <c r="H43" s="1">
        <f>IF(C43=PREMIOS!$B$5,E43*PREMIOS!$F$5,0)</f>
        <v>0</v>
      </c>
      <c r="I43" s="1">
        <f>IF(C43=PREMIOS!$B$6,E43*PREMIOS!$F$6,0)</f>
        <v>0</v>
      </c>
      <c r="J43" s="1">
        <f>IF(C43=PREMIOS!$B$7,E43*PREMIOS!$F$7,0)</f>
        <v>0</v>
      </c>
      <c r="K43" s="1">
        <f>IF(C43=PREMIOS!$B$8,E43*PREMIOS!$F$8,0)</f>
        <v>0</v>
      </c>
      <c r="L43" s="1">
        <f>IF(COUNTIF(PREMIOS!$B$9:$B$16,'2022'!C43),'2022'!E43*PREMIOS!$F$9,0)</f>
        <v>0</v>
      </c>
      <c r="M43" s="1">
        <f>IF('2022'!B43="SI",'2022'!E43*PREMIOS!$F$17,0)</f>
        <v>0</v>
      </c>
      <c r="N43" s="1">
        <f>IFERROR(INDEX(PREMIOS!$B$18:$F$23,MATCH(C43,PREMIOS!$B$18:$B$23,0),5)*E43,0)</f>
        <v>0</v>
      </c>
      <c r="O43" s="1">
        <f>IFERROR(INDEX(PREMIOS!$B$24:$F$28,MATCH(LEFT(C43,3),PREMIOS!$B$24:$B$28,0),5)*E43,0)</f>
        <v>0</v>
      </c>
      <c r="P43" s="1">
        <f>IFERROR(INDEX(PREMIOS!$B$29:$F$31,MATCH(RIGHT(C43,2),PREMIOS!$B$29:$B$31,0),5)*E43,0)</f>
        <v>0</v>
      </c>
      <c r="Q43" s="1">
        <f>IFERROR(INDEX(PREMIOS!$B$32:$F$32,MATCH(RIGHT(C43,1),PREMIOS!$B$32:$B$32,0),5)*E43,0)</f>
        <v>0</v>
      </c>
      <c r="R43" s="59">
        <f t="shared" si="2"/>
        <v>0</v>
      </c>
      <c r="S43">
        <f t="shared" si="3"/>
        <v>0</v>
      </c>
      <c r="T43">
        <f t="shared" si="4"/>
        <v>0</v>
      </c>
    </row>
    <row r="44" spans="2:20">
      <c r="B44" s="40" t="s">
        <v>74</v>
      </c>
      <c r="C44" s="47"/>
      <c r="D44" s="9"/>
      <c r="E44" s="8"/>
      <c r="F44" s="1" t="str">
        <f t="shared" si="6"/>
        <v>0</v>
      </c>
      <c r="G44" s="1">
        <f>IF(C44=PREMIOS!$B$4,E44*PREMIOS!$F$4,0)</f>
        <v>0</v>
      </c>
      <c r="H44" s="1">
        <f>IF(C44=PREMIOS!$B$5,E44*PREMIOS!$F$5,0)</f>
        <v>0</v>
      </c>
      <c r="I44" s="1">
        <f>IF(C44=PREMIOS!$B$6,E44*PREMIOS!$F$6,0)</f>
        <v>0</v>
      </c>
      <c r="J44" s="1">
        <f>IF(C44=PREMIOS!$B$7,E44*PREMIOS!$F$7,0)</f>
        <v>0</v>
      </c>
      <c r="K44" s="1">
        <f>IF(C44=PREMIOS!$B$8,E44*PREMIOS!$F$8,0)</f>
        <v>0</v>
      </c>
      <c r="L44" s="1">
        <f>IF(COUNTIF(PREMIOS!$B$9:$B$16,'2022'!C44),'2022'!E44*PREMIOS!$F$9,0)</f>
        <v>0</v>
      </c>
      <c r="M44" s="1">
        <f>IF('2022'!B44="SI",'2022'!E44*PREMIOS!$F$17,0)</f>
        <v>0</v>
      </c>
      <c r="N44" s="1">
        <f>IFERROR(INDEX(PREMIOS!$B$18:$F$23,MATCH(C44,PREMIOS!$B$18:$B$23,0),5)*E44,0)</f>
        <v>0</v>
      </c>
      <c r="O44" s="1">
        <f>IFERROR(INDEX(PREMIOS!$B$24:$F$28,MATCH(LEFT(C44,3),PREMIOS!$B$24:$B$28,0),5)*E44,0)</f>
        <v>0</v>
      </c>
      <c r="P44" s="1">
        <f>IFERROR(INDEX(PREMIOS!$B$29:$F$31,MATCH(RIGHT(C44,2),PREMIOS!$B$29:$B$31,0),5)*E44,0)</f>
        <v>0</v>
      </c>
      <c r="Q44" s="1">
        <f>IFERROR(INDEX(PREMIOS!$B$32:$F$32,MATCH(RIGHT(C44,1),PREMIOS!$B$32:$B$32,0),5)*E44,0)</f>
        <v>0</v>
      </c>
      <c r="R44" s="59">
        <f t="shared" si="2"/>
        <v>0</v>
      </c>
      <c r="S44">
        <f t="shared" si="3"/>
        <v>0</v>
      </c>
      <c r="T44">
        <f t="shared" si="4"/>
        <v>0</v>
      </c>
    </row>
  </sheetData>
  <sortState xmlns:xlrd2="http://schemas.microsoft.com/office/spreadsheetml/2017/richdata2" ref="C6:E33">
    <sortCondition ref="C6:C33"/>
  </sortState>
  <mergeCells count="4">
    <mergeCell ref="X1:AE1"/>
    <mergeCell ref="U1:V1"/>
    <mergeCell ref="R1:S2"/>
    <mergeCell ref="B4:C4"/>
  </mergeCells>
  <pageMargins left="0.7" right="0.7" top="0.75" bottom="0.75" header="0.3" footer="0.3"/>
  <pageSetup paperSize="9" orientation="portrait" r:id="rId1"/>
  <ignoredErrors>
    <ignoredError sqref="C2:D2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B137C-994D-4D33-9570-670265F129B6}">
  <sheetPr codeName="Hoja3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86F31-F657-4C63-AEE0-B3F7656E29EE}">
  <sheetPr codeName="Hoja4"/>
  <dimension ref="B2:G32"/>
  <sheetViews>
    <sheetView zoomScale="80" zoomScaleNormal="80" workbookViewId="0">
      <selection activeCell="B18" sqref="B18"/>
    </sheetView>
  </sheetViews>
  <sheetFormatPr baseColWidth="10" defaultRowHeight="14.4"/>
  <cols>
    <col min="2" max="2" width="19.44140625" style="2" customWidth="1"/>
    <col min="3" max="3" width="56.109375" customWidth="1"/>
    <col min="4" max="4" width="15.109375" customWidth="1"/>
    <col min="5" max="5" width="23.88671875" customWidth="1"/>
    <col min="6" max="6" width="19.21875" customWidth="1"/>
    <col min="7" max="7" width="21.6640625" customWidth="1"/>
  </cols>
  <sheetData>
    <row r="2" spans="2:6" ht="15" thickBot="1">
      <c r="C2" s="13"/>
    </row>
    <row r="3" spans="2:6" ht="28.2" thickBot="1">
      <c r="B3" s="33" t="s">
        <v>68</v>
      </c>
      <c r="C3" s="14" t="s">
        <v>40</v>
      </c>
      <c r="D3" s="14" t="s">
        <v>56</v>
      </c>
      <c r="E3" s="14" t="s">
        <v>41</v>
      </c>
      <c r="F3" s="14" t="s">
        <v>42</v>
      </c>
    </row>
    <row r="4" spans="2:6" ht="15" thickBot="1">
      <c r="B4" s="2" t="str">
        <f>IF('2022'!C2="","",'2022'!C2)</f>
        <v>05490</v>
      </c>
      <c r="C4" s="15" t="s">
        <v>43</v>
      </c>
      <c r="D4" s="16">
        <v>1</v>
      </c>
      <c r="E4" s="17">
        <v>4000000</v>
      </c>
      <c r="F4" s="17">
        <v>20000</v>
      </c>
    </row>
    <row r="5" spans="2:6" ht="15" thickBot="1">
      <c r="B5" s="2" t="str">
        <f>IF('2022'!D2="","",'2022'!D2)</f>
        <v>04074</v>
      </c>
      <c r="C5" s="15" t="s">
        <v>44</v>
      </c>
      <c r="D5" s="16">
        <v>1</v>
      </c>
      <c r="E5" s="17">
        <v>1250000</v>
      </c>
      <c r="F5" s="17">
        <v>6250</v>
      </c>
    </row>
    <row r="6" spans="2:6" ht="15" thickBot="1">
      <c r="B6" s="2">
        <f>IF('2022'!E2="","",'2022'!E2)</f>
        <v>45250</v>
      </c>
      <c r="C6" s="15" t="s">
        <v>45</v>
      </c>
      <c r="D6" s="16">
        <v>1</v>
      </c>
      <c r="E6" s="17">
        <v>500000</v>
      </c>
      <c r="F6" s="17">
        <v>2500</v>
      </c>
    </row>
    <row r="7" spans="2:6" ht="15" thickBot="1">
      <c r="B7" s="34">
        <f>'2022'!U2</f>
        <v>54289</v>
      </c>
      <c r="C7" s="35" t="s">
        <v>46</v>
      </c>
      <c r="D7" s="36">
        <v>1</v>
      </c>
      <c r="E7" s="37">
        <v>200000</v>
      </c>
      <c r="F7" s="37">
        <v>1000</v>
      </c>
    </row>
    <row r="8" spans="2:6" ht="15" thickBot="1">
      <c r="B8" s="34">
        <f>'2022'!V2</f>
        <v>25296</v>
      </c>
      <c r="C8" s="35" t="s">
        <v>46</v>
      </c>
      <c r="D8" s="36">
        <v>2</v>
      </c>
      <c r="E8" s="37">
        <v>200000</v>
      </c>
      <c r="F8" s="37">
        <v>1000</v>
      </c>
    </row>
    <row r="9" spans="2:6" ht="15" thickBot="1">
      <c r="B9" s="12">
        <f>'2022'!X2</f>
        <v>62391</v>
      </c>
      <c r="C9" s="22" t="s">
        <v>47</v>
      </c>
      <c r="D9" s="23">
        <v>1</v>
      </c>
      <c r="E9" s="24">
        <v>60000</v>
      </c>
      <c r="F9" s="24">
        <v>300</v>
      </c>
    </row>
    <row r="10" spans="2:6" ht="15" thickBot="1">
      <c r="B10" s="12">
        <f>'2022'!Y2</f>
        <v>43696</v>
      </c>
      <c r="C10" s="22" t="s">
        <v>47</v>
      </c>
      <c r="D10" s="23">
        <v>2</v>
      </c>
      <c r="E10" s="24">
        <v>60000</v>
      </c>
      <c r="F10" s="24">
        <v>300</v>
      </c>
    </row>
    <row r="11" spans="2:6" ht="15" thickBot="1">
      <c r="B11" s="12">
        <f>'2022'!Z2</f>
        <v>88509</v>
      </c>
      <c r="C11" s="22" t="s">
        <v>47</v>
      </c>
      <c r="D11" s="23">
        <v>3</v>
      </c>
      <c r="E11" s="24">
        <v>60000</v>
      </c>
      <c r="F11" s="24">
        <v>300</v>
      </c>
    </row>
    <row r="12" spans="2:6" ht="15" thickBot="1">
      <c r="B12" s="12">
        <f>'2022'!AA2</f>
        <v>38454</v>
      </c>
      <c r="C12" s="22" t="s">
        <v>47</v>
      </c>
      <c r="D12" s="23">
        <v>4</v>
      </c>
      <c r="E12" s="24">
        <v>60000</v>
      </c>
      <c r="F12" s="24">
        <v>300</v>
      </c>
    </row>
    <row r="13" spans="2:6" ht="15" thickBot="1">
      <c r="B13" s="12">
        <f>'2022'!AB2</f>
        <v>24492</v>
      </c>
      <c r="C13" s="22" t="s">
        <v>47</v>
      </c>
      <c r="D13" s="23">
        <v>5</v>
      </c>
      <c r="E13" s="24">
        <v>60000</v>
      </c>
      <c r="F13" s="24">
        <v>300</v>
      </c>
    </row>
    <row r="14" spans="2:6" ht="15" thickBot="1">
      <c r="B14" s="12">
        <f>'2022'!AC2</f>
        <v>79138</v>
      </c>
      <c r="C14" s="22" t="s">
        <v>47</v>
      </c>
      <c r="D14" s="23">
        <v>6</v>
      </c>
      <c r="E14" s="24">
        <v>60000</v>
      </c>
      <c r="F14" s="24">
        <v>300</v>
      </c>
    </row>
    <row r="15" spans="2:6" ht="15" thickBot="1">
      <c r="B15" s="12">
        <f>'2022'!AD2</f>
        <v>36142</v>
      </c>
      <c r="C15" s="22" t="s">
        <v>47</v>
      </c>
      <c r="D15" s="23">
        <v>7</v>
      </c>
      <c r="E15" s="24">
        <v>60000</v>
      </c>
      <c r="F15" s="24">
        <v>300</v>
      </c>
    </row>
    <row r="16" spans="2:6" ht="15" thickBot="1">
      <c r="B16" s="12">
        <f>'2022'!AE2</f>
        <v>87092</v>
      </c>
      <c r="C16" s="22" t="s">
        <v>47</v>
      </c>
      <c r="D16" s="23">
        <v>8</v>
      </c>
      <c r="E16" s="24">
        <v>60000</v>
      </c>
      <c r="F16" s="24">
        <v>300</v>
      </c>
    </row>
    <row r="17" spans="2:7" ht="15" thickBot="1">
      <c r="B17" s="38"/>
      <c r="C17" s="25" t="s">
        <v>48</v>
      </c>
      <c r="D17" s="26">
        <v>1794</v>
      </c>
      <c r="E17" s="27">
        <v>1000</v>
      </c>
      <c r="F17" s="27">
        <v>5</v>
      </c>
      <c r="G17" s="11" t="s">
        <v>66</v>
      </c>
    </row>
    <row r="18" spans="2:7" ht="26.4" thickBot="1">
      <c r="B18" s="33">
        <f>B4-1</f>
        <v>5489</v>
      </c>
      <c r="C18" s="19" t="s">
        <v>57</v>
      </c>
      <c r="D18" s="20">
        <v>1</v>
      </c>
      <c r="E18" s="21">
        <v>20000</v>
      </c>
      <c r="F18" s="21">
        <v>100</v>
      </c>
    </row>
    <row r="19" spans="2:7" ht="26.4" thickBot="1">
      <c r="B19" s="33">
        <f>B4+1</f>
        <v>5491</v>
      </c>
      <c r="C19" s="19" t="s">
        <v>58</v>
      </c>
      <c r="D19" s="20">
        <v>1</v>
      </c>
      <c r="E19" s="21">
        <v>20000</v>
      </c>
      <c r="F19" s="21">
        <v>100</v>
      </c>
    </row>
    <row r="20" spans="2:7" ht="26.4" thickBot="1">
      <c r="B20" s="33">
        <f>B5-1</f>
        <v>4073</v>
      </c>
      <c r="C20" s="22" t="s">
        <v>59</v>
      </c>
      <c r="D20" s="23">
        <v>2</v>
      </c>
      <c r="E20" s="24">
        <v>12500</v>
      </c>
      <c r="F20" s="28">
        <v>62.5</v>
      </c>
    </row>
    <row r="21" spans="2:7" ht="26.4" thickBot="1">
      <c r="B21" s="33">
        <f>B5+1</f>
        <v>4075</v>
      </c>
      <c r="C21" s="22" t="s">
        <v>60</v>
      </c>
      <c r="D21" s="23">
        <v>2</v>
      </c>
      <c r="E21" s="24">
        <v>12500</v>
      </c>
      <c r="F21" s="28">
        <v>62.5</v>
      </c>
    </row>
    <row r="22" spans="2:7" ht="26.4" thickBot="1">
      <c r="B22" s="33">
        <f>B6-1</f>
        <v>45249</v>
      </c>
      <c r="C22" s="29" t="s">
        <v>61</v>
      </c>
      <c r="D22" s="30">
        <v>2</v>
      </c>
      <c r="E22" s="31">
        <v>9600</v>
      </c>
      <c r="F22" s="31">
        <v>48</v>
      </c>
    </row>
    <row r="23" spans="2:7" ht="26.4" thickBot="1">
      <c r="B23" s="33">
        <f>B6+1</f>
        <v>45251</v>
      </c>
      <c r="C23" s="29" t="s">
        <v>62</v>
      </c>
      <c r="D23" s="30">
        <v>2</v>
      </c>
      <c r="E23" s="31">
        <v>9600</v>
      </c>
      <c r="F23" s="31">
        <v>48</v>
      </c>
    </row>
    <row r="24" spans="2:7" ht="26.4" thickBot="1">
      <c r="B24" s="33" t="str">
        <f>LEFT(B4,3)</f>
        <v>054</v>
      </c>
      <c r="C24" s="15" t="s">
        <v>63</v>
      </c>
      <c r="D24" s="16">
        <v>99</v>
      </c>
      <c r="E24" s="17">
        <v>1000</v>
      </c>
      <c r="F24" s="17">
        <v>5</v>
      </c>
    </row>
    <row r="25" spans="2:7" ht="26.4" thickBot="1">
      <c r="B25" s="33" t="str">
        <f t="shared" ref="B25:B28" si="0">LEFT(B5,3)</f>
        <v>040</v>
      </c>
      <c r="C25" s="15" t="s">
        <v>49</v>
      </c>
      <c r="D25" s="16">
        <v>99</v>
      </c>
      <c r="E25" s="17">
        <v>1000</v>
      </c>
      <c r="F25" s="17">
        <v>5</v>
      </c>
    </row>
    <row r="26" spans="2:7" ht="26.4" thickBot="1">
      <c r="B26" s="33" t="str">
        <f t="shared" si="0"/>
        <v>452</v>
      </c>
      <c r="C26" s="15" t="s">
        <v>50</v>
      </c>
      <c r="D26" s="16">
        <v>99</v>
      </c>
      <c r="E26" s="17">
        <v>1000</v>
      </c>
      <c r="F26" s="17">
        <v>5</v>
      </c>
    </row>
    <row r="27" spans="2:7" ht="26.4" thickBot="1">
      <c r="B27" s="33" t="str">
        <f t="shared" si="0"/>
        <v>542</v>
      </c>
      <c r="C27" s="35" t="s">
        <v>64</v>
      </c>
      <c r="D27" s="36">
        <v>198</v>
      </c>
      <c r="E27" s="37">
        <v>1000</v>
      </c>
      <c r="F27" s="37">
        <v>5</v>
      </c>
    </row>
    <row r="28" spans="2:7" ht="26.4" thickBot="1">
      <c r="B28" s="33" t="str">
        <f t="shared" si="0"/>
        <v>252</v>
      </c>
      <c r="C28" s="35" t="s">
        <v>65</v>
      </c>
      <c r="D28" s="36">
        <v>198</v>
      </c>
      <c r="E28" s="37">
        <v>1000</v>
      </c>
      <c r="F28" s="37">
        <v>5</v>
      </c>
    </row>
    <row r="29" spans="2:7" ht="26.4" thickBot="1">
      <c r="B29" s="33" t="str">
        <f>RIGHT(B4,2)</f>
        <v>90</v>
      </c>
      <c r="C29" s="15" t="s">
        <v>51</v>
      </c>
      <c r="D29" s="16">
        <v>999</v>
      </c>
      <c r="E29" s="17">
        <v>1000</v>
      </c>
      <c r="F29" s="17">
        <v>5</v>
      </c>
    </row>
    <row r="30" spans="2:7" ht="26.4" thickBot="1">
      <c r="B30" s="33" t="str">
        <f t="shared" ref="B30:B31" si="1">RIGHT(B5,2)</f>
        <v>74</v>
      </c>
      <c r="C30" s="15" t="s">
        <v>52</v>
      </c>
      <c r="D30" s="16">
        <v>999</v>
      </c>
      <c r="E30" s="17">
        <v>1000</v>
      </c>
      <c r="F30" s="17">
        <v>5</v>
      </c>
    </row>
    <row r="31" spans="2:7" ht="26.4" thickBot="1">
      <c r="B31" s="33" t="str">
        <f t="shared" si="1"/>
        <v>50</v>
      </c>
      <c r="C31" s="15" t="s">
        <v>53</v>
      </c>
      <c r="D31" s="16">
        <v>999</v>
      </c>
      <c r="E31" s="17">
        <v>1000</v>
      </c>
      <c r="F31" s="17">
        <v>5</v>
      </c>
    </row>
    <row r="32" spans="2:7" ht="26.4" thickBot="1">
      <c r="B32" s="33" t="str">
        <f>RIGHT(B4,1)</f>
        <v>0</v>
      </c>
      <c r="C32" s="15" t="s">
        <v>54</v>
      </c>
      <c r="D32" s="18">
        <v>9999</v>
      </c>
      <c r="E32" s="17">
        <v>200</v>
      </c>
      <c r="F32" s="17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E5115-1B7D-43E9-AE75-3242893ECBAB}">
  <sheetPr codeName="Hoja1"/>
  <dimension ref="A1:H39"/>
  <sheetViews>
    <sheetView showGridLines="0" zoomScaleNormal="100" workbookViewId="0">
      <selection activeCell="B10" sqref="B10"/>
    </sheetView>
  </sheetViews>
  <sheetFormatPr baseColWidth="10" defaultRowHeight="14.4"/>
  <cols>
    <col min="1" max="1" width="3.21875" customWidth="1"/>
    <col min="2" max="2" width="10.88671875" style="2"/>
    <col min="3" max="3" width="29.21875" customWidth="1"/>
    <col min="4" max="4" width="10.88671875" style="2"/>
    <col min="5" max="5" width="7.44140625" hidden="1" customWidth="1"/>
    <col min="6" max="6" width="2.6640625" customWidth="1"/>
    <col min="7" max="7" width="9.109375" style="2" customWidth="1"/>
  </cols>
  <sheetData>
    <row r="1" spans="1:8">
      <c r="A1" s="7"/>
      <c r="D1" s="2">
        <f>SUM(D3:D39)</f>
        <v>435</v>
      </c>
      <c r="F1" s="7"/>
    </row>
    <row r="2" spans="1:8">
      <c r="B2" s="3" t="s">
        <v>0</v>
      </c>
      <c r="C2" s="3" t="s">
        <v>1</v>
      </c>
      <c r="D2" s="3" t="s">
        <v>2</v>
      </c>
      <c r="E2" s="3" t="s">
        <v>10</v>
      </c>
      <c r="G2" s="4" t="s">
        <v>16</v>
      </c>
      <c r="H2" s="4" t="s">
        <v>11</v>
      </c>
    </row>
    <row r="3" spans="1:8">
      <c r="B3" s="8">
        <v>4835</v>
      </c>
      <c r="C3" s="9" t="s">
        <v>17</v>
      </c>
      <c r="D3" s="8">
        <v>60</v>
      </c>
      <c r="E3" s="1" t="str">
        <f t="shared" ref="E3:E28" si="0">RIGHT(TEXT(B3,0),1)</f>
        <v>5</v>
      </c>
      <c r="G3" s="5">
        <v>0</v>
      </c>
      <c r="H3" s="6">
        <f t="shared" ref="H3:H12" si="1">SUMIF($E$3:$E$39,G3,$D$3:$D$40)</f>
        <v>25</v>
      </c>
    </row>
    <row r="4" spans="1:8">
      <c r="B4" s="10">
        <v>18458</v>
      </c>
      <c r="C4" s="9" t="s">
        <v>14</v>
      </c>
      <c r="D4" s="8">
        <v>40</v>
      </c>
      <c r="E4" s="1" t="str">
        <f t="shared" si="0"/>
        <v>8</v>
      </c>
      <c r="G4" s="5">
        <v>1</v>
      </c>
      <c r="H4" s="6">
        <f t="shared" si="1"/>
        <v>55</v>
      </c>
    </row>
    <row r="5" spans="1:8">
      <c r="B5" s="8">
        <v>18490</v>
      </c>
      <c r="C5" s="9" t="s">
        <v>19</v>
      </c>
      <c r="D5" s="8">
        <v>5</v>
      </c>
      <c r="E5" s="1" t="str">
        <f t="shared" si="0"/>
        <v>0</v>
      </c>
      <c r="G5" s="5">
        <v>2</v>
      </c>
      <c r="H5" s="6">
        <f t="shared" si="1"/>
        <v>65</v>
      </c>
    </row>
    <row r="6" spans="1:8">
      <c r="B6" s="8">
        <v>28014</v>
      </c>
      <c r="C6" s="9" t="s">
        <v>27</v>
      </c>
      <c r="D6" s="8">
        <v>20</v>
      </c>
      <c r="E6" s="1" t="str">
        <f t="shared" si="0"/>
        <v>4</v>
      </c>
      <c r="G6" s="5">
        <v>3</v>
      </c>
      <c r="H6" s="6">
        <f t="shared" si="1"/>
        <v>5</v>
      </c>
    </row>
    <row r="7" spans="1:8">
      <c r="B7" s="8">
        <v>28140</v>
      </c>
      <c r="C7" s="9" t="s">
        <v>26</v>
      </c>
      <c r="D7" s="8">
        <v>20</v>
      </c>
      <c r="E7" s="1" t="str">
        <f t="shared" si="0"/>
        <v>0</v>
      </c>
      <c r="G7" s="5">
        <v>4</v>
      </c>
      <c r="H7" s="6">
        <f t="shared" si="1"/>
        <v>40</v>
      </c>
    </row>
    <row r="8" spans="1:8">
      <c r="B8" s="8">
        <v>29302</v>
      </c>
      <c r="C8" s="9" t="s">
        <v>4</v>
      </c>
      <c r="D8" s="8">
        <v>20</v>
      </c>
      <c r="E8" s="1" t="str">
        <f t="shared" si="0"/>
        <v>2</v>
      </c>
      <c r="G8" s="5">
        <v>5</v>
      </c>
      <c r="H8" s="6">
        <f t="shared" si="1"/>
        <v>65</v>
      </c>
    </row>
    <row r="9" spans="1:8">
      <c r="B9" s="8">
        <v>32076</v>
      </c>
      <c r="C9" s="9" t="s">
        <v>6</v>
      </c>
      <c r="D9" s="8">
        <v>4</v>
      </c>
      <c r="E9" s="1" t="str">
        <f t="shared" si="0"/>
        <v>6</v>
      </c>
      <c r="G9" s="5">
        <v>6</v>
      </c>
      <c r="H9" s="6">
        <f t="shared" si="1"/>
        <v>45</v>
      </c>
    </row>
    <row r="10" spans="1:8">
      <c r="B10" s="8">
        <v>39641</v>
      </c>
      <c r="C10" s="9" t="s">
        <v>20</v>
      </c>
      <c r="D10" s="8">
        <v>5</v>
      </c>
      <c r="E10" s="1" t="str">
        <f t="shared" si="0"/>
        <v>1</v>
      </c>
      <c r="G10" s="5">
        <v>7</v>
      </c>
      <c r="H10" s="6">
        <f t="shared" si="1"/>
        <v>30</v>
      </c>
    </row>
    <row r="11" spans="1:8">
      <c r="B11" s="10">
        <v>39698</v>
      </c>
      <c r="C11" s="9" t="s">
        <v>4</v>
      </c>
      <c r="D11" s="8">
        <v>20</v>
      </c>
      <c r="E11" s="1" t="str">
        <f t="shared" si="0"/>
        <v>8</v>
      </c>
      <c r="G11" s="5">
        <v>8</v>
      </c>
      <c r="H11" s="6">
        <f t="shared" si="1"/>
        <v>85</v>
      </c>
    </row>
    <row r="12" spans="1:8">
      <c r="B12" s="8">
        <v>40704</v>
      </c>
      <c r="C12" s="9" t="s">
        <v>25</v>
      </c>
      <c r="D12" s="8">
        <v>20</v>
      </c>
      <c r="E12" s="1" t="str">
        <f t="shared" si="0"/>
        <v>4</v>
      </c>
      <c r="G12" s="5">
        <v>9</v>
      </c>
      <c r="H12" s="6">
        <f t="shared" si="1"/>
        <v>20</v>
      </c>
    </row>
    <row r="13" spans="1:8">
      <c r="B13" s="8">
        <v>42289</v>
      </c>
      <c r="C13" s="9" t="s">
        <v>15</v>
      </c>
      <c r="D13" s="8">
        <v>20</v>
      </c>
      <c r="E13" s="1" t="str">
        <f t="shared" si="0"/>
        <v>9</v>
      </c>
    </row>
    <row r="14" spans="1:8">
      <c r="B14" s="8">
        <v>55917</v>
      </c>
      <c r="C14" s="9" t="s">
        <v>12</v>
      </c>
      <c r="D14" s="8">
        <v>20</v>
      </c>
      <c r="E14" s="1" t="str">
        <f t="shared" si="0"/>
        <v>7</v>
      </c>
    </row>
    <row r="15" spans="1:8">
      <c r="B15" s="8">
        <v>59261</v>
      </c>
      <c r="C15" s="9" t="s">
        <v>24</v>
      </c>
      <c r="D15" s="8">
        <v>20</v>
      </c>
      <c r="E15" s="1" t="str">
        <f t="shared" si="0"/>
        <v>1</v>
      </c>
    </row>
    <row r="16" spans="1:8">
      <c r="B16" s="8">
        <v>61126</v>
      </c>
      <c r="C16" s="9" t="s">
        <v>13</v>
      </c>
      <c r="D16" s="8">
        <v>20</v>
      </c>
      <c r="E16" s="1" t="str">
        <f t="shared" si="0"/>
        <v>6</v>
      </c>
    </row>
    <row r="17" spans="1:6">
      <c r="B17" s="8">
        <v>77152</v>
      </c>
      <c r="C17" s="9" t="s">
        <v>18</v>
      </c>
      <c r="D17" s="8">
        <v>20</v>
      </c>
      <c r="E17" s="1" t="str">
        <f t="shared" si="0"/>
        <v>2</v>
      </c>
    </row>
    <row r="18" spans="1:6">
      <c r="B18" s="10">
        <v>78108</v>
      </c>
      <c r="C18" s="9" t="s">
        <v>9</v>
      </c>
      <c r="D18" s="8">
        <v>5</v>
      </c>
      <c r="E18" s="1" t="str">
        <f t="shared" si="0"/>
        <v>8</v>
      </c>
    </row>
    <row r="19" spans="1:6">
      <c r="B19" s="8">
        <v>80146</v>
      </c>
      <c r="C19" s="9" t="s">
        <v>5</v>
      </c>
      <c r="D19" s="8">
        <v>21</v>
      </c>
      <c r="E19" s="1" t="str">
        <f t="shared" si="0"/>
        <v>6</v>
      </c>
    </row>
    <row r="20" spans="1:6">
      <c r="B20" s="8">
        <v>82383</v>
      </c>
      <c r="C20" s="9" t="s">
        <v>8</v>
      </c>
      <c r="D20" s="8">
        <v>5</v>
      </c>
      <c r="E20" s="1" t="str">
        <f t="shared" si="0"/>
        <v>3</v>
      </c>
    </row>
    <row r="21" spans="1:6">
      <c r="B21" s="8">
        <v>83465</v>
      </c>
      <c r="C21" s="9" t="s">
        <v>21</v>
      </c>
      <c r="D21" s="8">
        <v>5</v>
      </c>
      <c r="E21" s="1" t="str">
        <f t="shared" si="0"/>
        <v>5</v>
      </c>
    </row>
    <row r="22" spans="1:6">
      <c r="B22" s="8">
        <v>83957</v>
      </c>
      <c r="C22" s="9" t="s">
        <v>7</v>
      </c>
      <c r="D22" s="8">
        <v>5</v>
      </c>
      <c r="E22" s="1" t="str">
        <f t="shared" si="0"/>
        <v>7</v>
      </c>
    </row>
    <row r="23" spans="1:6">
      <c r="B23" s="8">
        <v>87877</v>
      </c>
      <c r="C23" s="9" t="s">
        <v>22</v>
      </c>
      <c r="D23" s="8">
        <v>5</v>
      </c>
      <c r="E23" s="1" t="str">
        <f t="shared" si="0"/>
        <v>7</v>
      </c>
    </row>
    <row r="24" spans="1:6">
      <c r="B24" s="8">
        <v>92912</v>
      </c>
      <c r="C24" s="9" t="s">
        <v>4</v>
      </c>
      <c r="D24" s="8">
        <v>20</v>
      </c>
      <c r="E24" s="1" t="str">
        <f t="shared" si="0"/>
        <v>2</v>
      </c>
    </row>
    <row r="25" spans="1:6">
      <c r="B25" s="10">
        <v>94378</v>
      </c>
      <c r="C25" s="9" t="s">
        <v>3</v>
      </c>
      <c r="D25" s="8">
        <v>20</v>
      </c>
      <c r="E25" s="1" t="str">
        <f t="shared" si="0"/>
        <v>8</v>
      </c>
    </row>
    <row r="26" spans="1:6">
      <c r="B26" s="8">
        <v>94531</v>
      </c>
      <c r="C26" s="9" t="s">
        <v>23</v>
      </c>
      <c r="D26" s="8">
        <v>10</v>
      </c>
      <c r="E26" s="1" t="str">
        <f t="shared" si="0"/>
        <v>1</v>
      </c>
    </row>
    <row r="27" spans="1:6">
      <c r="B27" s="8">
        <v>97482</v>
      </c>
      <c r="C27" s="9" t="s">
        <v>9</v>
      </c>
      <c r="D27" s="8">
        <v>5</v>
      </c>
      <c r="E27" s="1" t="str">
        <f t="shared" si="0"/>
        <v>2</v>
      </c>
    </row>
    <row r="28" spans="1:6">
      <c r="A28" s="7"/>
      <c r="B28" s="8">
        <v>99651</v>
      </c>
      <c r="C28" s="9" t="s">
        <v>4</v>
      </c>
      <c r="D28" s="8">
        <v>20</v>
      </c>
      <c r="E28" s="1" t="str">
        <f t="shared" si="0"/>
        <v>1</v>
      </c>
      <c r="F28" s="7"/>
    </row>
    <row r="29" spans="1:6">
      <c r="B29" s="2">
        <v>81021</v>
      </c>
      <c r="E29" s="1" t="str">
        <f t="shared" ref="E29:E39" si="2">RIGHT(TEXT(B30,0),1)</f>
        <v>3</v>
      </c>
    </row>
    <row r="30" spans="1:6">
      <c r="B30" s="2">
        <v>9443</v>
      </c>
      <c r="E30" s="1" t="str">
        <f t="shared" si="2"/>
        <v>0</v>
      </c>
    </row>
    <row r="31" spans="1:6">
      <c r="E31" s="1" t="str">
        <f t="shared" si="2"/>
        <v>0</v>
      </c>
    </row>
    <row r="32" spans="1:6">
      <c r="E32" s="1" t="str">
        <f t="shared" si="2"/>
        <v>0</v>
      </c>
    </row>
    <row r="33" spans="5:5">
      <c r="E33" s="1" t="str">
        <f t="shared" si="2"/>
        <v>0</v>
      </c>
    </row>
    <row r="34" spans="5:5">
      <c r="E34" s="1" t="str">
        <f t="shared" si="2"/>
        <v>0</v>
      </c>
    </row>
    <row r="35" spans="5:5">
      <c r="E35" s="1" t="str">
        <f t="shared" si="2"/>
        <v>0</v>
      </c>
    </row>
    <row r="36" spans="5:5">
      <c r="E36" s="1" t="str">
        <f t="shared" si="2"/>
        <v>0</v>
      </c>
    </row>
    <row r="37" spans="5:5">
      <c r="E37" s="1" t="str">
        <f t="shared" si="2"/>
        <v>0</v>
      </c>
    </row>
    <row r="38" spans="5:5">
      <c r="E38" s="1" t="str">
        <f t="shared" si="2"/>
        <v>0</v>
      </c>
    </row>
    <row r="39" spans="5:5">
      <c r="E39" s="1" t="str">
        <f t="shared" si="2"/>
        <v>0</v>
      </c>
    </row>
  </sheetData>
  <sortState xmlns:xlrd2="http://schemas.microsoft.com/office/spreadsheetml/2017/richdata2" ref="B3:D28">
    <sortCondition ref="B3:B28"/>
  </sortState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FBEB911-AA39-4015-A86F-A45143DFD4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2025</vt:lpstr>
      <vt:lpstr>2024</vt:lpstr>
      <vt:lpstr>2023</vt:lpstr>
      <vt:lpstr>2022</vt:lpstr>
      <vt:lpstr>Alambres</vt:lpstr>
      <vt:lpstr>PREMIOS</vt:lpstr>
      <vt:lpstr>2021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Jesús Samper Ruiz</dc:creator>
  <cp:lastModifiedBy>JESUS SAMPER RUIZ</cp:lastModifiedBy>
  <dcterms:created xsi:type="dcterms:W3CDTF">2021-11-23T11:44:16Z</dcterms:created>
  <dcterms:modified xsi:type="dcterms:W3CDTF">2025-12-22T12:58:44Z</dcterms:modified>
</cp:coreProperties>
</file>